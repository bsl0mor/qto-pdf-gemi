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LBLOOS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/>
      <right/>
      <top style="medium">
        <color rgb="00999999"/>
      </top>
      <bottom/>
      <diagonal/>
    </border>
    <border>
      <left/>
      <right style="medium">
        <color rgb="00999999"/>
      </right>
      <top style="medium">
        <color rgb="00999999"/>
      </top>
      <bottom/>
      <diagonal/>
    </border>
    <border>
      <left/>
      <right/>
      <top style="medium">
        <color rgb="00999999"/>
      </top>
      <bottom style="medium">
        <color rgb="00999999"/>
      </bottom>
      <diagonal/>
    </border>
    <border>
      <left/>
      <right style="medium">
        <color rgb="00999999"/>
      </right>
      <top style="medium">
        <color rgb="00999999"/>
      </top>
      <bottom style="medium">
        <color rgb="00999999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8" customWidth="1" min="4" max="4"/>
    <col width="14" customWidth="1" min="5" max="5"/>
    <col width="55" customWidth="1" min="6" max="6"/>
  </cols>
  <sheetData>
    <row r="1" ht="28" customHeight="1">
      <c r="A1" s="1" t="inlineStr">
        <is>
          <t>BILL OF QUANTITIES — PROJECT ALBLOOSHI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#</t>
        </is>
      </c>
      <c r="B2" s="4" t="inlineStr">
        <is>
          <t>ITEM ID</t>
        </is>
      </c>
      <c r="C2" s="4" t="inlineStr">
        <is>
          <t>DESCRIPTION</t>
        </is>
      </c>
      <c r="D2" s="4" t="inlineStr">
        <is>
          <t>UNIT</t>
        </is>
      </c>
      <c r="E2" s="4" t="inlineStr">
        <is>
          <t>QTY</t>
        </is>
      </c>
      <c r="F2" s="4" t="inlineStr">
        <is>
          <t>BREAKDOWN / FORMULA</t>
        </is>
      </c>
    </row>
    <row r="3" ht="20" customHeight="1">
      <c r="A3" s="5" t="inlineStr">
        <is>
          <t>SUBSTRUCTURE</t>
        </is>
      </c>
      <c r="B3" s="2" t="n"/>
      <c r="C3" s="2" t="n"/>
      <c r="D3" s="2" t="n"/>
      <c r="E3" s="2" t="n"/>
      <c r="F3" s="3" t="n"/>
    </row>
    <row r="4" ht="18" customHeight="1">
      <c r="A4" s="6" t="n">
        <v>1</v>
      </c>
      <c r="B4" s="7" t="inlineStr">
        <is>
          <t>excavation</t>
        </is>
      </c>
      <c r="C4" s="7" t="inlineStr">
        <is>
          <t>Bulk Excavation</t>
        </is>
      </c>
      <c r="D4" s="8" t="inlineStr">
        <is>
          <t>m3</t>
        </is>
      </c>
      <c r="E4" s="9" t="n">
        <v>1151.4</v>
      </c>
      <c r="F4" s="7" t="inlineStr">
        <is>
          <t>(28.4+2)×(28.3+2)×1.25=1151.4</t>
        </is>
      </c>
    </row>
    <row r="5" ht="18" customHeight="1">
      <c r="A5" s="10" t="n">
        <v>2</v>
      </c>
      <c r="B5" s="11" t="inlineStr">
        <is>
          <t>road_base</t>
        </is>
      </c>
      <c r="C5" s="11" t="inlineStr">
        <is>
          <t>Road Base</t>
        </is>
      </c>
      <c r="D5" s="8" t="inlineStr">
        <is>
          <t>m3</t>
        </is>
      </c>
      <c r="E5" s="9" t="n">
        <v>0</v>
      </c>
      <c r="F5" s="11" t="inlineStr">
        <is>
          <t>N/A</t>
        </is>
      </c>
    </row>
    <row r="6" ht="18" customHeight="1">
      <c r="A6" s="6" t="n">
        <v>3</v>
      </c>
      <c r="B6" s="7" t="inlineStr">
        <is>
          <t>pcc_footings</t>
        </is>
      </c>
      <c r="C6" s="7" t="inlineStr">
        <is>
          <t>PCC Blinding under Isolated Footings</t>
        </is>
      </c>
      <c r="D6" s="8" t="inlineStr">
        <is>
          <t>m3</t>
        </is>
      </c>
      <c r="E6" s="9" t="n">
        <v>0</v>
      </c>
      <c r="F6" s="7" t="inlineStr"/>
    </row>
    <row r="7" ht="18" customHeight="1">
      <c r="A7" s="10" t="n">
        <v>4</v>
      </c>
      <c r="B7" s="11" t="inlineStr">
        <is>
          <t>pcc_tb</t>
        </is>
      </c>
      <c r="C7" s="11" t="inlineStr">
        <is>
          <t>PCC Blinding under Tie Beams</t>
        </is>
      </c>
      <c r="D7" s="8" t="inlineStr">
        <is>
          <t>m3</t>
        </is>
      </c>
      <c r="E7" s="9" t="n">
        <v>0</v>
      </c>
      <c r="F7" s="11" t="inlineStr"/>
    </row>
    <row r="8" ht="18" customHeight="1">
      <c r="A8" s="6" t="n">
        <v>5</v>
      </c>
      <c r="B8" s="7" t="inlineStr">
        <is>
          <t>footing_concrete</t>
        </is>
      </c>
      <c r="C8" s="7" t="inlineStr">
        <is>
          <t>Isolated Footing Concrete</t>
        </is>
      </c>
      <c r="D8" s="8" t="inlineStr">
        <is>
          <t>m3</t>
        </is>
      </c>
      <c r="E8" s="9" t="n">
        <v>0</v>
      </c>
      <c r="F8" s="7" t="inlineStr"/>
    </row>
    <row r="9" ht="18" customHeight="1">
      <c r="A9" s="10" t="n">
        <v>6</v>
      </c>
      <c r="B9" s="11" t="inlineStr">
        <is>
          <t>neck_column</t>
        </is>
      </c>
      <c r="C9" s="11" t="inlineStr">
        <is>
          <t>Neck Column Concrete</t>
        </is>
      </c>
      <c r="D9" s="8" t="inlineStr">
        <is>
          <t>m3</t>
        </is>
      </c>
      <c r="E9" s="9" t="n">
        <v>0</v>
      </c>
      <c r="F9" s="11" t="inlineStr"/>
    </row>
    <row r="10" ht="18" customHeight="1">
      <c r="A10" s="6" t="n">
        <v>7</v>
      </c>
      <c r="B10" s="7" t="inlineStr">
        <is>
          <t>tb_concrete</t>
        </is>
      </c>
      <c r="C10" s="7" t="inlineStr">
        <is>
          <t>Tie Beam RC Concrete</t>
        </is>
      </c>
      <c r="D10" s="8" t="inlineStr">
        <is>
          <t>m3</t>
        </is>
      </c>
      <c r="E10" s="9" t="n">
        <v>0</v>
      </c>
      <c r="F10" s="7" t="inlineStr"/>
    </row>
    <row r="11" ht="18" customHeight="1">
      <c r="A11" s="10" t="n">
        <v>8</v>
      </c>
      <c r="B11" s="11" t="inlineStr">
        <is>
          <t>bitumen</t>
        </is>
      </c>
      <c r="C11" s="11" t="inlineStr">
        <is>
          <t>Bituminous Waterproofing Sub-Structure</t>
        </is>
      </c>
      <c r="D11" s="8" t="inlineStr">
        <is>
          <t>m2</t>
        </is>
      </c>
      <c r="E11" s="9" t="n">
        <v>306.18</v>
      </c>
      <c r="F11" s="11" t="inlineStr">
        <is>
          <t>ftg_sides=0+ftg_tops=0+nc_sides=0+block=306.18+tb=0.0</t>
        </is>
      </c>
    </row>
    <row r="12" ht="18" customHeight="1">
      <c r="A12" s="6" t="n">
        <v>9</v>
      </c>
      <c r="B12" s="7" t="inlineStr">
        <is>
          <t>blockwall_solid_sub</t>
        </is>
      </c>
      <c r="C12" s="7" t="inlineStr">
        <is>
          <t>Solid Block Sub-Structure</t>
        </is>
      </c>
      <c r="D12" s="8" t="inlineStr">
        <is>
          <t>m2</t>
        </is>
      </c>
      <c r="E12" s="9" t="n">
        <v>153.09</v>
      </c>
      <c r="F12" s="7" t="inlineStr">
        <is>
          <t>113.4×1.35=153.09</t>
        </is>
      </c>
    </row>
    <row r="13" ht="18" customHeight="1">
      <c r="A13" s="10" t="n">
        <v>10</v>
      </c>
      <c r="B13" s="11" t="inlineStr">
        <is>
          <t>slab_on_grade</t>
        </is>
      </c>
      <c r="C13" s="11" t="inlineStr">
        <is>
          <t>Slab on Grade Concrete</t>
        </is>
      </c>
      <c r="D13" s="8" t="inlineStr">
        <is>
          <t>m3</t>
        </is>
      </c>
      <c r="E13" s="9" t="n">
        <v>80.372</v>
      </c>
      <c r="F13" s="11" t="inlineStr">
        <is>
          <t>28.4×28.3×0.10=80.372</t>
        </is>
      </c>
    </row>
    <row r="14" ht="18" customHeight="1">
      <c r="A14" s="6" t="n">
        <v>11</v>
      </c>
      <c r="B14" s="7" t="inlineStr">
        <is>
          <t>polythene</t>
        </is>
      </c>
      <c r="C14" s="7" t="inlineStr">
        <is>
          <t>Polythene Sheet 1000 gauge</t>
        </is>
      </c>
      <c r="D14" s="8" t="inlineStr">
        <is>
          <t>m2</t>
        </is>
      </c>
      <c r="E14" s="9" t="n">
        <v>803.72</v>
      </c>
      <c r="F14" s="7" t="inlineStr">
        <is>
          <t>pcc_ftg=0+pcc_tb=0+sog=803.72</t>
        </is>
      </c>
    </row>
    <row r="15" ht="18" customHeight="1">
      <c r="A15" s="10" t="n">
        <v>12</v>
      </c>
      <c r="B15" s="11" t="inlineStr">
        <is>
          <t>anti_termite</t>
        </is>
      </c>
      <c r="C15" s="11" t="inlineStr">
        <is>
          <t>Anti-Termite Treatment</t>
        </is>
      </c>
      <c r="D15" s="8" t="inlineStr">
        <is>
          <t>m2</t>
        </is>
      </c>
      <c r="E15" s="9" t="n">
        <v>924.278</v>
      </c>
      <c r="F15" s="11" t="inlineStr">
        <is>
          <t>803.72×1.15=924.278</t>
        </is>
      </c>
    </row>
    <row r="16" ht="18" customHeight="1">
      <c r="A16" s="6" t="n">
        <v>13</v>
      </c>
      <c r="B16" s="7" t="inlineStr">
        <is>
          <t>backfill</t>
        </is>
      </c>
      <c r="C16" s="7" t="inlineStr">
        <is>
          <t>Backfill Compacted</t>
        </is>
      </c>
      <c r="D16" s="8" t="inlineStr">
        <is>
          <t>m3</t>
        </is>
      </c>
      <c r="E16" s="9" t="n">
        <v>1040.41</v>
      </c>
      <c r="F16" s="7" t="inlineStr">
        <is>
          <t>void=1151.4-all_items=110.99(pcc_f=0+pcc_t=0+ftg=0+nc=0+tb=0+sog=80.372+blk=30.618+rb=0)</t>
        </is>
      </c>
    </row>
    <row r="17">
      <c r="A17" s="12" t="n"/>
      <c r="B17" s="12" t="n"/>
      <c r="C17" s="12" t="n"/>
      <c r="D17" s="12" t="n"/>
      <c r="E17" s="12" t="n"/>
      <c r="F17" s="12" t="n"/>
    </row>
    <row r="18" ht="20" customHeight="1">
      <c r="A18" s="5" t="inlineStr">
        <is>
          <t>SUPERSTRUCTURE</t>
        </is>
      </c>
      <c r="B18" s="2" t="n"/>
      <c r="C18" s="2" t="n"/>
      <c r="D18" s="2" t="n"/>
      <c r="E18" s="2" t="n"/>
      <c r="F18" s="3" t="n"/>
    </row>
    <row r="19" ht="18" customHeight="1">
      <c r="A19" s="10" t="n">
        <v>14</v>
      </c>
      <c r="B19" s="11" t="inlineStr">
        <is>
          <t>gf_columns</t>
        </is>
      </c>
      <c r="C19" s="11" t="inlineStr">
        <is>
          <t>GF Columns Concrete</t>
        </is>
      </c>
      <c r="D19" s="8" t="inlineStr">
        <is>
          <t>m3</t>
        </is>
      </c>
      <c r="E19" s="9" t="n">
        <v>12.672</v>
      </c>
      <c r="F19" s="11" t="inlineStr">
        <is>
          <t>C1:24×0.3×0.3×4.4=9.504 + C2:4×0.3×0.3×4.4=1.584 + C3:4×0.3×0.3×4.4=1.584</t>
        </is>
      </c>
    </row>
    <row r="20" ht="18" customHeight="1">
      <c r="A20" s="6" t="n">
        <v>15</v>
      </c>
      <c r="B20" s="7" t="inlineStr">
        <is>
          <t>ff_columns</t>
        </is>
      </c>
      <c r="C20" s="7" t="inlineStr">
        <is>
          <t>FF Columns Concrete</t>
        </is>
      </c>
      <c r="D20" s="8" t="inlineStr">
        <is>
          <t>m3</t>
        </is>
      </c>
      <c r="E20" s="9" t="n">
        <v>12.672</v>
      </c>
      <c r="F20" s="7" t="inlineStr">
        <is>
          <t>C1:24×0.3×0.3×4.4=9.504 + C2:4×0.3×0.3×4.4=1.584 + C3:4×0.3×0.3×4.4=1.584</t>
        </is>
      </c>
    </row>
    <row r="21" ht="18" customHeight="1">
      <c r="A21" s="10" t="n">
        <v>16</v>
      </c>
      <c r="B21" s="11" t="inlineStr">
        <is>
          <t>ff_beams</t>
        </is>
      </c>
      <c r="C21" s="11" t="inlineStr">
        <is>
          <t>First Floor Beams Concrete</t>
        </is>
      </c>
      <c r="D21" s="8" t="inlineStr">
        <is>
          <t>m3</t>
        </is>
      </c>
      <c r="E21" s="9" t="n">
        <v>15</v>
      </c>
      <c r="F21" s="11" t="inlineStr">
        <is>
          <t>150.0×0.25×0.4=15.0</t>
        </is>
      </c>
    </row>
    <row r="22" ht="18" customHeight="1">
      <c r="A22" s="6" t="n">
        <v>17</v>
      </c>
      <c r="B22" s="7" t="inlineStr">
        <is>
          <t>ff_slab</t>
        </is>
      </c>
      <c r="C22" s="7" t="inlineStr">
        <is>
          <t>First Floor Slab Concrete</t>
        </is>
      </c>
      <c r="D22" s="8" t="inlineStr">
        <is>
          <t>m3</t>
        </is>
      </c>
      <c r="E22" s="9" t="n">
        <v>119.148</v>
      </c>
      <c r="F22" s="7" t="inlineStr">
        <is>
          <t>595.74×0.2=119.148</t>
        </is>
      </c>
    </row>
    <row r="23" ht="18" customHeight="1">
      <c r="A23" s="10" t="n">
        <v>18</v>
      </c>
      <c r="B23" s="11" t="inlineStr">
        <is>
          <t>roof_beams</t>
        </is>
      </c>
      <c r="C23" s="11" t="inlineStr">
        <is>
          <t>Roof Beams Concrete</t>
        </is>
      </c>
      <c r="D23" s="8" t="inlineStr">
        <is>
          <t>m3</t>
        </is>
      </c>
      <c r="E23" s="9" t="n">
        <v>15</v>
      </c>
      <c r="F23" s="11" t="inlineStr">
        <is>
          <t>150.0×0.25×0.4=15.0</t>
        </is>
      </c>
    </row>
    <row r="24" ht="18" customHeight="1">
      <c r="A24" s="6" t="n">
        <v>19</v>
      </c>
      <c r="B24" s="7" t="inlineStr">
        <is>
          <t>roof_slab</t>
        </is>
      </c>
      <c r="C24" s="7" t="inlineStr">
        <is>
          <t>Roof Slab Concrete</t>
        </is>
      </c>
      <c r="D24" s="8" t="inlineStr">
        <is>
          <t>m3</t>
        </is>
      </c>
      <c r="E24" s="9" t="n">
        <v>119.148</v>
      </c>
      <c r="F24" s="7" t="inlineStr">
        <is>
          <t>595.74×0.2=119.148</t>
        </is>
      </c>
    </row>
    <row r="25" ht="18" customHeight="1">
      <c r="A25" s="10" t="n">
        <v>20</v>
      </c>
      <c r="B25" s="11" t="inlineStr">
        <is>
          <t>parapet_concrete</t>
        </is>
      </c>
      <c r="C25" s="11" t="inlineStr">
        <is>
          <t>Parapet Coping Concrete</t>
        </is>
      </c>
      <c r="D25" s="8" t="inlineStr">
        <is>
          <t>m3</t>
        </is>
      </c>
      <c r="E25" s="9" t="n">
        <v>3.924</v>
      </c>
      <c r="F25" s="11" t="inlineStr">
        <is>
          <t>98.1×0.20×0.20=3.924</t>
        </is>
      </c>
    </row>
    <row r="26" ht="18" customHeight="1">
      <c r="A26" s="6" t="n">
        <v>21</v>
      </c>
      <c r="B26" s="7" t="inlineStr">
        <is>
          <t>parapet_block</t>
        </is>
      </c>
      <c r="C26" s="7" t="inlineStr">
        <is>
          <t>Parapet Block Work</t>
        </is>
      </c>
      <c r="D26" s="8" t="inlineStr">
        <is>
          <t>m2</t>
        </is>
      </c>
      <c r="E26" s="9" t="n">
        <v>98.09999999999999</v>
      </c>
      <c r="F26" s="7" t="inlineStr">
        <is>
          <t>98.1×(1.2-0.20)=98.1</t>
        </is>
      </c>
    </row>
    <row r="27">
      <c r="A27" s="12" t="n"/>
      <c r="B27" s="12" t="n"/>
      <c r="C27" s="12" t="n"/>
      <c r="D27" s="12" t="n"/>
      <c r="E27" s="12" t="n"/>
      <c r="F27" s="12" t="n"/>
    </row>
    <row r="28" ht="20" customHeight="1">
      <c r="A28" s="5" t="inlineStr">
        <is>
          <t>ARCHITECTURAL FINISHES — GROUND FLOOR</t>
        </is>
      </c>
      <c r="B28" s="2" t="n"/>
      <c r="C28" s="2" t="n"/>
      <c r="D28" s="2" t="n"/>
      <c r="E28" s="2" t="n"/>
      <c r="F28" s="3" t="n"/>
    </row>
    <row r="29" ht="18" customHeight="1">
      <c r="A29" s="10" t="n">
        <v>22</v>
      </c>
      <c r="B29" s="11" t="inlineStr">
        <is>
          <t>block_20_ext_gf</t>
        </is>
      </c>
      <c r="C29" s="11" t="inlineStr">
        <is>
          <t>External Block 20cm — Ground Floor</t>
        </is>
      </c>
      <c r="D29" s="8" t="inlineStr">
        <is>
          <t>m2</t>
        </is>
      </c>
      <c r="E29" s="9" t="n">
        <v>393.17</v>
      </c>
      <c r="F29" s="11" t="inlineStr">
        <is>
          <t>103.5x4.4-14.41w-47.82d</t>
        </is>
      </c>
    </row>
    <row r="30" ht="18" customHeight="1">
      <c r="A30" s="6" t="n">
        <v>23</v>
      </c>
      <c r="B30" s="7" t="inlineStr">
        <is>
          <t>block_20_int_gf</t>
        </is>
      </c>
      <c r="C30" s="7" t="inlineStr">
        <is>
          <t>Internal Block 20cm — Ground Floor</t>
        </is>
      </c>
      <c r="D30" s="8" t="inlineStr">
        <is>
          <t>m2</t>
        </is>
      </c>
      <c r="E30" s="9" t="n">
        <v>385.452</v>
      </c>
      <c r="F30" s="7" t="inlineStr">
        <is>
          <t>91.95x4.4-0.4x47.82</t>
        </is>
      </c>
    </row>
    <row r="31" ht="18" customHeight="1">
      <c r="A31" s="10" t="n">
        <v>24</v>
      </c>
      <c r="B31" s="11" t="inlineStr">
        <is>
          <t>block_10_int_gf</t>
        </is>
      </c>
      <c r="C31" s="11" t="inlineStr">
        <is>
          <t>Internal Block 10cm — Ground Floor</t>
        </is>
      </c>
      <c r="D31" s="8" t="inlineStr">
        <is>
          <t>m2</t>
        </is>
      </c>
      <c r="E31" s="9" t="n">
        <v>0</v>
      </c>
      <c r="F31" s="11" t="inlineStr">
        <is>
          <t>0.0x4.4-0.4x47.82</t>
        </is>
      </c>
    </row>
    <row r="32" ht="18" customHeight="1">
      <c r="A32" s="6" t="n">
        <v>25</v>
      </c>
      <c r="B32" s="7" t="inlineStr">
        <is>
          <t>plaster_int_gf</t>
        </is>
      </c>
      <c r="C32" s="7" t="inlineStr">
        <is>
          <t>Internal Plaster — Ground Floor</t>
        </is>
      </c>
      <c r="D32" s="8" t="inlineStr">
        <is>
          <t>m2</t>
        </is>
      </c>
      <c r="E32" s="9" t="n">
        <v>1186.17</v>
      </c>
      <c r="F32" s="7" t="inlineStr">
        <is>
          <t>(91.95+0.0)x4.4x2+103.5x4.4-16.16x2-31.66-14.41</t>
        </is>
      </c>
    </row>
    <row r="33" ht="18" customHeight="1">
      <c r="A33" s="10" t="n">
        <v>26</v>
      </c>
      <c r="B33" s="11" t="inlineStr">
        <is>
          <t>flooring_dry_gf</t>
        </is>
      </c>
      <c r="C33" s="11" t="inlineStr">
        <is>
          <t>Flooring Dry Areas — Ground Floor</t>
        </is>
      </c>
      <c r="D33" s="8" t="inlineStr">
        <is>
          <t>m2</t>
        </is>
      </c>
      <c r="E33" s="9" t="n">
        <v>598.17</v>
      </c>
      <c r="F33" s="11" t="inlineStr">
        <is>
          <t>dry area GF</t>
        </is>
      </c>
    </row>
    <row r="34" ht="18" customHeight="1">
      <c r="A34" s="6" t="n">
        <v>27</v>
      </c>
      <c r="B34" s="7" t="inlineStr">
        <is>
          <t>flooring_wet_gf</t>
        </is>
      </c>
      <c r="C34" s="7" t="inlineStr">
        <is>
          <t>Flooring Wet Areas — Ground Floor</t>
        </is>
      </c>
      <c r="D34" s="8" t="inlineStr">
        <is>
          <t>m2</t>
        </is>
      </c>
      <c r="E34" s="9" t="n">
        <v>60.88</v>
      </c>
      <c r="F34" s="7" t="inlineStr">
        <is>
          <t>wet area GF</t>
        </is>
      </c>
    </row>
    <row r="35" ht="18" customHeight="1">
      <c r="A35" s="10" t="n">
        <v>28</v>
      </c>
      <c r="B35" s="11" t="inlineStr">
        <is>
          <t>skirting_gf</t>
        </is>
      </c>
      <c r="C35" s="11" t="inlineStr">
        <is>
          <t>Skirting — Ground Floor</t>
        </is>
      </c>
      <c r="D35" s="8" t="inlineStr">
        <is>
          <t>m</t>
        </is>
      </c>
      <c r="E35" s="9" t="n">
        <v>239.58</v>
      </c>
      <c r="F35" s="11" t="inlineStr">
        <is>
          <t>247.4-0.4x19.55</t>
        </is>
      </c>
    </row>
    <row r="36" ht="18" customHeight="1">
      <c r="A36" s="6" t="n">
        <v>29</v>
      </c>
      <c r="B36" s="7" t="inlineStr">
        <is>
          <t>paint_gf</t>
        </is>
      </c>
      <c r="C36" s="7" t="inlineStr">
        <is>
          <t>Paint Internal Walls — Ground Floor</t>
        </is>
      </c>
      <c r="D36" s="8" t="inlineStr">
        <is>
          <t>m2</t>
        </is>
      </c>
      <c r="E36" s="9" t="n">
        <v>1054.152</v>
      </c>
      <c r="F36" s="7" t="inlineStr">
        <is>
          <t>239.58x4.4</t>
        </is>
      </c>
    </row>
    <row r="37" ht="18" customHeight="1">
      <c r="A37" s="10" t="n">
        <v>30</v>
      </c>
      <c r="B37" s="11" t="inlineStr">
        <is>
          <t>ceiling_dry_gf</t>
        </is>
      </c>
      <c r="C37" s="11" t="inlineStr">
        <is>
          <t>Ceiling Dry Areas — Ground Floor</t>
        </is>
      </c>
      <c r="D37" s="8" t="inlineStr">
        <is>
          <t>m2</t>
        </is>
      </c>
      <c r="E37" s="9" t="n">
        <v>598.17</v>
      </c>
      <c r="F37" s="11">
        <f>flooring_dry_gf</f>
        <v/>
      </c>
    </row>
    <row r="38" ht="18" customHeight="1">
      <c r="A38" s="6" t="n">
        <v>31</v>
      </c>
      <c r="B38" s="7" t="inlineStr">
        <is>
          <t>ceiling_wet_gf</t>
        </is>
      </c>
      <c r="C38" s="7" t="inlineStr">
        <is>
          <t>Ceiling Wet Areas — Ground Floor</t>
        </is>
      </c>
      <c r="D38" s="8" t="inlineStr">
        <is>
          <t>m2</t>
        </is>
      </c>
      <c r="E38" s="9" t="n">
        <v>60.88</v>
      </c>
      <c r="F38" s="7">
        <f>flooring_wet_gf</f>
        <v/>
      </c>
    </row>
    <row r="39" ht="18" customHeight="1">
      <c r="A39" s="10" t="n">
        <v>32</v>
      </c>
      <c r="B39" s="11" t="inlineStr">
        <is>
          <t>tiles_wall_gf</t>
        </is>
      </c>
      <c r="C39" s="11" t="inlineStr">
        <is>
          <t>Wall Tiles Wet Areas — Ground Floor</t>
        </is>
      </c>
      <c r="D39" s="8" t="inlineStr">
        <is>
          <t>m2</t>
        </is>
      </c>
      <c r="E39" s="9" t="n">
        <v>330.135</v>
      </c>
      <c r="F39" s="11" t="inlineStr">
        <is>
          <t>84.65x(4.4-0.5)</t>
        </is>
      </c>
    </row>
    <row r="40">
      <c r="A40" s="12" t="n"/>
      <c r="B40" s="12" t="n"/>
      <c r="C40" s="12" t="n"/>
      <c r="D40" s="12" t="n"/>
      <c r="E40" s="12" t="n"/>
      <c r="F40" s="12" t="n"/>
    </row>
    <row r="41" ht="20" customHeight="1">
      <c r="A41" s="5" t="inlineStr">
        <is>
          <t>ARCHITECTURAL FINISHES — FIRST FLOOR</t>
        </is>
      </c>
      <c r="B41" s="2" t="n"/>
      <c r="C41" s="2" t="n"/>
      <c r="D41" s="2" t="n"/>
      <c r="E41" s="2" t="n"/>
      <c r="F41" s="3" t="n"/>
    </row>
    <row r="42" ht="18" customHeight="1">
      <c r="A42" s="6" t="n">
        <v>33</v>
      </c>
      <c r="B42" s="7" t="inlineStr">
        <is>
          <t>block_20_ext_ff</t>
        </is>
      </c>
      <c r="C42" s="7" t="inlineStr">
        <is>
          <t>External Block 20cm — First Floor</t>
        </is>
      </c>
      <c r="D42" s="8" t="inlineStr">
        <is>
          <t>m2</t>
        </is>
      </c>
      <c r="E42" s="9" t="n">
        <v>363.2</v>
      </c>
      <c r="F42" s="7" t="inlineStr">
        <is>
          <t>88.3x4.4-0.0w-25.32d</t>
        </is>
      </c>
    </row>
    <row r="43" ht="18" customHeight="1">
      <c r="A43" s="10" t="n">
        <v>34</v>
      </c>
      <c r="B43" s="11" t="inlineStr">
        <is>
          <t>block_20_int_ff</t>
        </is>
      </c>
      <c r="C43" s="11" t="inlineStr">
        <is>
          <t>Internal Block 20cm — First Floor</t>
        </is>
      </c>
      <c r="D43" s="8" t="inlineStr">
        <is>
          <t>m2</t>
        </is>
      </c>
      <c r="E43" s="9" t="n">
        <v>402.24</v>
      </c>
      <c r="F43" s="11" t="inlineStr">
        <is>
          <t>93.72x4.4-0.4x25.32</t>
        </is>
      </c>
    </row>
    <row r="44" ht="18" customHeight="1">
      <c r="A44" s="6" t="n">
        <v>35</v>
      </c>
      <c r="B44" s="7" t="inlineStr">
        <is>
          <t>block_10_int_ff</t>
        </is>
      </c>
      <c r="C44" s="7" t="inlineStr">
        <is>
          <t>Internal Block 10cm — First Floor</t>
        </is>
      </c>
      <c r="D44" s="8" t="inlineStr">
        <is>
          <t>m2</t>
        </is>
      </c>
      <c r="E44" s="9" t="n">
        <v>16.272</v>
      </c>
      <c r="F44" s="7" t="inlineStr">
        <is>
          <t>6.0x4.4-0.4x25.32</t>
        </is>
      </c>
    </row>
    <row r="45" ht="18" customHeight="1">
      <c r="A45" s="10" t="n">
        <v>36</v>
      </c>
      <c r="B45" s="11" t="inlineStr">
        <is>
          <t>plaster_int_ff</t>
        </is>
      </c>
      <c r="C45" s="11" t="inlineStr">
        <is>
          <t>Internal Plaster — First Floor</t>
        </is>
      </c>
      <c r="D45" s="8" t="inlineStr">
        <is>
          <t>m2</t>
        </is>
      </c>
      <c r="E45" s="9" t="n">
        <v>1224.056</v>
      </c>
      <c r="F45" s="11" t="inlineStr">
        <is>
          <t>(93.72+6.0)x4.4x2+88.3x4.4-16.68x2-8.64-0.0</t>
        </is>
      </c>
    </row>
    <row r="46" ht="18" customHeight="1">
      <c r="A46" s="6" t="n">
        <v>37</v>
      </c>
      <c r="B46" s="7" t="inlineStr">
        <is>
          <t>flooring_dry_ff</t>
        </is>
      </c>
      <c r="C46" s="7" t="inlineStr">
        <is>
          <t>Flooring Dry Areas — First Floor</t>
        </is>
      </c>
      <c r="D46" s="8" t="inlineStr">
        <is>
          <t>m2</t>
        </is>
      </c>
      <c r="E46" s="9" t="n">
        <v>638.51</v>
      </c>
      <c r="F46" s="7" t="inlineStr">
        <is>
          <t>dry area FF</t>
        </is>
      </c>
    </row>
    <row r="47" ht="18" customHeight="1">
      <c r="A47" s="10" t="n">
        <v>38</v>
      </c>
      <c r="B47" s="11" t="inlineStr">
        <is>
          <t>flooring_wet_ff</t>
        </is>
      </c>
      <c r="C47" s="11" t="inlineStr">
        <is>
          <t>Flooring Wet Areas — First Floor</t>
        </is>
      </c>
      <c r="D47" s="8" t="inlineStr">
        <is>
          <t>m2</t>
        </is>
      </c>
      <c r="E47" s="9" t="n">
        <v>20.54</v>
      </c>
      <c r="F47" s="11" t="inlineStr">
        <is>
          <t>wet area FF</t>
        </is>
      </c>
    </row>
    <row r="48" ht="18" customHeight="1">
      <c r="A48" s="6" t="n">
        <v>39</v>
      </c>
      <c r="B48" s="7" t="inlineStr">
        <is>
          <t>skirting_ff</t>
        </is>
      </c>
      <c r="C48" s="7" t="inlineStr">
        <is>
          <t>Skirting — First Floor</t>
        </is>
      </c>
      <c r="D48" s="8" t="inlineStr">
        <is>
          <t>m</t>
        </is>
      </c>
      <c r="E48" s="9" t="n">
        <v>202.74</v>
      </c>
      <c r="F48" s="7" t="inlineStr">
        <is>
          <t>206.62-0.4x9.7</t>
        </is>
      </c>
    </row>
    <row r="49" ht="18" customHeight="1">
      <c r="A49" s="10" t="n">
        <v>40</v>
      </c>
      <c r="B49" s="11" t="inlineStr">
        <is>
          <t>paint_ff</t>
        </is>
      </c>
      <c r="C49" s="11" t="inlineStr">
        <is>
          <t>Paint Internal Walls — First Floor</t>
        </is>
      </c>
      <c r="D49" s="8" t="inlineStr">
        <is>
          <t>m2</t>
        </is>
      </c>
      <c r="E49" s="9" t="n">
        <v>892.056</v>
      </c>
      <c r="F49" s="11" t="inlineStr">
        <is>
          <t>202.74x4.4</t>
        </is>
      </c>
    </row>
    <row r="50" ht="18" customHeight="1">
      <c r="A50" s="6" t="n">
        <v>41</v>
      </c>
      <c r="B50" s="7" t="inlineStr">
        <is>
          <t>ceiling_dry_ff</t>
        </is>
      </c>
      <c r="C50" s="7" t="inlineStr">
        <is>
          <t>Ceiling Dry Areas — First Floor</t>
        </is>
      </c>
      <c r="D50" s="8" t="inlineStr">
        <is>
          <t>m2</t>
        </is>
      </c>
      <c r="E50" s="9" t="n">
        <v>638.51</v>
      </c>
      <c r="F50" s="7">
        <f>flooring_dry_ff</f>
        <v/>
      </c>
    </row>
    <row r="51" ht="18" customHeight="1">
      <c r="A51" s="10" t="n">
        <v>42</v>
      </c>
      <c r="B51" s="11" t="inlineStr">
        <is>
          <t>ceiling_wet_ff</t>
        </is>
      </c>
      <c r="C51" s="11" t="inlineStr">
        <is>
          <t>Ceiling Wet Areas — First Floor</t>
        </is>
      </c>
      <c r="D51" s="8" t="inlineStr">
        <is>
          <t>m2</t>
        </is>
      </c>
      <c r="E51" s="9" t="n">
        <v>20.54</v>
      </c>
      <c r="F51" s="11">
        <f>flooring_wet_ff</f>
        <v/>
      </c>
    </row>
    <row r="52" ht="18" customHeight="1">
      <c r="A52" s="6" t="n">
        <v>43</v>
      </c>
      <c r="B52" s="7" t="inlineStr">
        <is>
          <t>tiles_wall_ff</t>
        </is>
      </c>
      <c r="C52" s="7" t="inlineStr">
        <is>
          <t>Wall Tiles Wet Areas — First Floor</t>
        </is>
      </c>
      <c r="D52" s="8" t="inlineStr">
        <is>
          <t>m2</t>
        </is>
      </c>
      <c r="E52" s="9" t="n">
        <v>134.16</v>
      </c>
      <c r="F52" s="7" t="inlineStr">
        <is>
          <t>34.4x(4.4-0.5)</t>
        </is>
      </c>
    </row>
    <row r="53">
      <c r="A53" s="12" t="n"/>
      <c r="B53" s="12" t="n"/>
      <c r="C53" s="12" t="n"/>
      <c r="D53" s="12" t="n"/>
      <c r="E53" s="12" t="n"/>
      <c r="F53" s="12" t="n"/>
    </row>
    <row r="54" ht="20" customHeight="1">
      <c r="A54" s="5" t="inlineStr">
        <is>
          <t>ARCHITECTURAL FINISHES — GENERAL</t>
        </is>
      </c>
      <c r="B54" s="2" t="n"/>
      <c r="C54" s="2" t="n"/>
      <c r="D54" s="2" t="n"/>
      <c r="E54" s="2" t="n"/>
      <c r="F54" s="3" t="n"/>
    </row>
    <row r="55" ht="18" customHeight="1">
      <c r="A55" s="10" t="n">
        <v>44</v>
      </c>
      <c r="B55" s="11" t="inlineStr">
        <is>
          <t>finish_ext</t>
        </is>
      </c>
      <c r="C55" s="11" t="inlineStr">
        <is>
          <t>External Wall Finish</t>
        </is>
      </c>
      <c r="D55" s="8" t="inlineStr">
        <is>
          <t>m2</t>
        </is>
      </c>
      <c r="E55" s="9" t="n">
        <v>1035</v>
      </c>
      <c r="F55" s="11" t="inlineStr">
        <is>
          <t>103.5x10.0</t>
        </is>
      </c>
    </row>
    <row r="56" ht="18" customHeight="1">
      <c r="A56" s="6" t="n">
        <v>45</v>
      </c>
      <c r="B56" s="7" t="inlineStr">
        <is>
          <t>marble_threshold</t>
        </is>
      </c>
      <c r="C56" s="7" t="inlineStr">
        <is>
          <t>Marble Threshold</t>
        </is>
      </c>
      <c r="D56" s="8" t="inlineStr">
        <is>
          <t>RM</t>
        </is>
      </c>
      <c r="E56" s="9" t="n">
        <v>29.25</v>
      </c>
      <c r="F56" s="7" t="inlineStr">
        <is>
          <t>19.55+9.7</t>
        </is>
      </c>
    </row>
    <row r="57" ht="18" customHeight="1">
      <c r="A57" s="10" t="n">
        <v>46</v>
      </c>
      <c r="B57" s="11" t="inlineStr">
        <is>
          <t>balcony_flooring</t>
        </is>
      </c>
      <c r="C57" s="11" t="inlineStr">
        <is>
          <t>Balcony Flooring</t>
        </is>
      </c>
      <c r="D57" s="8" t="inlineStr">
        <is>
          <t>m2</t>
        </is>
      </c>
      <c r="E57" s="9" t="n">
        <v>132.72</v>
      </c>
      <c r="F57" s="11" t="inlineStr">
        <is>
          <t>GF 0.0+FF 132.72</t>
        </is>
      </c>
    </row>
    <row r="58" ht="18" customHeight="1">
      <c r="A58" s="6" t="n">
        <v>47</v>
      </c>
      <c r="B58" s="7" t="inlineStr">
        <is>
          <t>balcony_wp</t>
        </is>
      </c>
      <c r="C58" s="7" t="inlineStr">
        <is>
          <t>Balcony Waterproofing</t>
        </is>
      </c>
      <c r="D58" s="8" t="inlineStr">
        <is>
          <t>m2</t>
        </is>
      </c>
      <c r="E58" s="9" t="n">
        <v>132.72</v>
      </c>
      <c r="F58" s="7">
        <f>balcony_flooring</f>
        <v/>
      </c>
    </row>
    <row r="59" ht="18" customHeight="1">
      <c r="A59" s="10" t="n">
        <v>48</v>
      </c>
      <c r="B59" s="11" t="inlineStr">
        <is>
          <t>waterproofing</t>
        </is>
      </c>
      <c r="C59" s="11" t="inlineStr">
        <is>
          <t>Waterproofing FF Wet Areas</t>
        </is>
      </c>
      <c r="D59" s="8" t="inlineStr">
        <is>
          <t>m2</t>
        </is>
      </c>
      <c r="E59" s="9" t="n">
        <v>20.54</v>
      </c>
      <c r="F59" s="11" t="inlineStr">
        <is>
          <t>FF wet only</t>
        </is>
      </c>
    </row>
    <row r="60" ht="18" customHeight="1">
      <c r="A60" s="6" t="n">
        <v>49</v>
      </c>
      <c r="B60" s="7" t="inlineStr">
        <is>
          <t>roof_waterproofing</t>
        </is>
      </c>
      <c r="C60" s="7" t="inlineStr">
        <is>
          <t>Roof Waterproofing</t>
        </is>
      </c>
      <c r="D60" s="8" t="inlineStr">
        <is>
          <t>m2</t>
        </is>
      </c>
      <c r="E60" s="9" t="n">
        <v>595.74</v>
      </c>
      <c r="F60" s="7" t="inlineStr">
        <is>
          <t>roof slab area=595.74</t>
        </is>
      </c>
    </row>
    <row r="61" ht="18" customHeight="1">
      <c r="A61" s="10" t="n">
        <v>50</v>
      </c>
      <c r="B61" s="11" t="inlineStr">
        <is>
          <t>combo_roof</t>
        </is>
      </c>
      <c r="C61" s="11" t="inlineStr">
        <is>
          <t>Roof Combo (Screed + WP + Insulation)</t>
        </is>
      </c>
      <c r="D61" s="8" t="inlineStr">
        <is>
          <t>m2</t>
        </is>
      </c>
      <c r="E61" s="9" t="n">
        <v>714.888</v>
      </c>
      <c r="F61" s="11" t="inlineStr">
        <is>
          <t>595.74x1.2=714.888</t>
        </is>
      </c>
    </row>
    <row r="62" ht="18" customHeight="1">
      <c r="A62" s="6" t="n">
        <v>51</v>
      </c>
      <c r="B62" s="7" t="inlineStr">
        <is>
          <t>doors_schedule</t>
        </is>
      </c>
      <c r="C62" s="7" t="inlineStr">
        <is>
          <t>Doors Schedule</t>
        </is>
      </c>
      <c r="D62" s="8" t="inlineStr">
        <is>
          <t>No.</t>
        </is>
      </c>
      <c r="E62" s="9" t="n">
        <v>4</v>
      </c>
      <c r="F62" s="7" t="inlineStr">
        <is>
          <t>total doors GF+FF</t>
        </is>
      </c>
    </row>
    <row r="63" ht="18" customHeight="1">
      <c r="A63" s="10" t="n">
        <v>52</v>
      </c>
      <c r="B63" s="11" t="inlineStr">
        <is>
          <t>windows_schedule</t>
        </is>
      </c>
      <c r="C63" s="11" t="inlineStr">
        <is>
          <t>Windows Schedule</t>
        </is>
      </c>
      <c r="D63" s="8" t="inlineStr">
        <is>
          <t>m2</t>
        </is>
      </c>
      <c r="E63" s="9" t="n">
        <v>14.41</v>
      </c>
      <c r="F63" s="11" t="inlineStr">
        <is>
          <t>GF 14.41+FF 0.0</t>
        </is>
      </c>
    </row>
    <row r="64">
      <c r="A64" s="12" t="n"/>
      <c r="B64" s="12" t="n"/>
      <c r="C64" s="12" t="n"/>
      <c r="D64" s="12" t="n"/>
      <c r="E64" s="12" t="n"/>
      <c r="F64" s="12" t="n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2026-04-01T12:21:10Z</dcterms:created>
  <dcterms:modified xmlns:dcterms="http://purl.org/dc/terms/" xmlns:xsi="http://www.w3.org/2001/XMLSchema-instance" xsi:type="dcterms:W3CDTF">2026-04-01T12:21:10Z</dcterms:modified>
</cp:coreProperties>
</file>