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asel\Downloads\QTO-AI\"/>
    </mc:Choice>
  </mc:AlternateContent>
  <xr:revisionPtr revIDLastSave="0" documentId="13_ncr:1_{723B0742-0A4F-42EB-A200-59D37B6BC75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oject 3246" sheetId="1" r:id="rId1"/>
    <sheet name="Project 1577" sheetId="2" r:id="rId2"/>
    <sheet name="Comparis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8" i="2" l="1"/>
  <c r="F51" i="2"/>
  <c r="F50" i="2"/>
  <c r="F38" i="2"/>
  <c r="F37" i="2"/>
  <c r="F58" i="1"/>
  <c r="F51" i="1"/>
  <c r="F50" i="1"/>
  <c r="F38" i="1"/>
  <c r="F37" i="1"/>
</calcChain>
</file>

<file path=xl/sharedStrings.xml><?xml version="1.0" encoding="utf-8"?>
<sst xmlns="http://schemas.openxmlformats.org/spreadsheetml/2006/main" count="587" uniqueCount="206">
  <si>
    <t>BILL OF QUANTITIES — PROJECT 3246</t>
  </si>
  <si>
    <t>#</t>
  </si>
  <si>
    <t>ITEM ID</t>
  </si>
  <si>
    <t>DESCRIPTION</t>
  </si>
  <si>
    <t>UNIT</t>
  </si>
  <si>
    <t>QTY</t>
  </si>
  <si>
    <t>BREAKDOWN / FORMULA</t>
  </si>
  <si>
    <t>SUBSTRUCTURE</t>
  </si>
  <si>
    <t>excavation</t>
  </si>
  <si>
    <t>Bulk Excavation</t>
  </si>
  <si>
    <t>m3</t>
  </si>
  <si>
    <t>(19.22 + 2.0) * (14.4 + 2.0) * 1.75</t>
  </si>
  <si>
    <t>road_base</t>
  </si>
  <si>
    <t>Road Base</t>
  </si>
  <si>
    <t>19.22 * 14.4 * 0.20</t>
  </si>
  <si>
    <t>pcc_footings</t>
  </si>
  <si>
    <t>PCC Blinding under Isolated Footings</t>
  </si>
  <si>
    <t>F1: 2*(1.30+0.10)*(1.70+0.10)*0.10 = 0.504; F2: 6*(2.00+0.10)*(2.60+0.10)*0.10 = 3.402; F3: 5*(2.40+0.10)*(2.80+0.10)*0.10 = 3.625; F4: 5*(2.60+0.10)*(3.20+0.10)*0.10 = 4.455; F5: 9*(2.80+0.10)*(3.40+0.10)*0.10 = 9.135; CF2: 1*(3.00+0.10)*(4.00+0.10)*0.10 = 1.271; CF1: 2*(2.80+0.10)*(4.00+0.10)*0.10 = 2.378</t>
  </si>
  <si>
    <t>pcc_tb</t>
  </si>
  <si>
    <t>PCC Blinding under Tie Beams</t>
  </si>
  <si>
    <t>TB1: 186.52*(0.20+0.20)*0.10 = 7.4608; TB2: 8.92*(0.20+0.20)*0.10 = 0.3568; TB3: 8.40*(0.25+0.20)*0.10 = 0.378; TB4: 8.62*(0.30+0.20)*0.10 = 0.431</t>
  </si>
  <si>
    <t>footing_concrete</t>
  </si>
  <si>
    <t>Isolated Footing Concrete</t>
  </si>
  <si>
    <t>F1: 2*1.30*1.70*0.40 = 1.768; F2: 6*2.00*2.60*0.50 = 15.600; F3: 5*2.40*2.80*0.50 = 16.800; F4: 5*2.60*3.20*0.50 = 20.800; F5: 9*2.80*3.40*0.50 = 42.840; CF2: 1*3.00*4.00*0.50 = 6.000; CF1: 2*2.80*4.00*0.50 = 11.200</t>
  </si>
  <si>
    <t>neck_column</t>
  </si>
  <si>
    <t>Neck Column Concrete</t>
  </si>
  <si>
    <t>H_neck = (1.75 + 0.80) - Footing_H. F1(C4): 2*0.20*0.30*2.15 = 0.258; F2(C3): 6*0.20*0.40*2.05 = 0.984; F3(C2): 5*0.20*0.50*2.05 = 1.025; F4(C1): 5*0.20*0.60*2.05 = 1.230; F5(C1): 9*0.20*0.60*2.05 = 2.214; CF2(C1): 1*0.20*0.60*2.05 = 0.246; CF1(C1): 2*0.20*0.60*2.05 = 0.492</t>
  </si>
  <si>
    <t>tb_concrete</t>
  </si>
  <si>
    <t>Tie Beam RC Concrete</t>
  </si>
  <si>
    <t>TB1: 186.52*0.20*0.50 = 18.652; TB2: 8.92*0.20*0.50 = 0.892; TB3: 8.40*0.25*0.50 = 1.050; TB4: 8.62*0.30*0.50 = 1.293</t>
  </si>
  <si>
    <t>bitumen</t>
  </si>
  <si>
    <t>Bituminous Waterproofing Sub-Structure</t>
  </si>
  <si>
    <t>m2</t>
  </si>
  <si>
    <t>Footing Sides: 163.80; Footing Tops: 230.90; NC Sides: 89.17; Blockwall Sides: 67.24 * 0.95 * 2 = 127.756; TB Tops: 43.774</t>
  </si>
  <si>
    <t>blockwall_solid_sub</t>
  </si>
  <si>
    <t>Solid Block Sub-Structure</t>
  </si>
  <si>
    <t>GFPerimeter * ((excav_depth + GF_level) - deepest_TB_depth) = 67.24 * ((1.75 + 0.80) - 1.60) = 67.24 * 0.95</t>
  </si>
  <si>
    <t>slab_on_grade</t>
  </si>
  <si>
    <t>Slab on Grade Concrete</t>
  </si>
  <si>
    <t>19.22 * 14.4 * 0.10</t>
  </si>
  <si>
    <t>polythene</t>
  </si>
  <si>
    <t>Polythene Sheet 1000 gauge</t>
  </si>
  <si>
    <t>PCC Footings Area: 247.70; PCC TB Area: 86.266; SoG Area: 276.768</t>
  </si>
  <si>
    <t>anti_termite</t>
  </si>
  <si>
    <t>Anti-Termite Treatment</t>
  </si>
  <si>
    <t>610.734 * 1.15</t>
  </si>
  <si>
    <t>backfill</t>
  </si>
  <si>
    <t>Backfill Compacted</t>
  </si>
  <si>
    <t>Excavation Volume (609.988) - Sum of Concrete+Block Volumes (272.5466)</t>
  </si>
  <si>
    <t>SUPERSTRUCTURE</t>
  </si>
  <si>
    <t>gf_columns</t>
  </si>
  <si>
    <t>GF Columns Concrete</t>
  </si>
  <si>
    <t>C1: 10 * 0.30m * 0.30m * 3.23m = 2.907 m3; C2: 4 * 0.30m * 0.40m * 3.23m = 1.5504 m3; C3: 4 * 0.30m * 0.50m * 3.23m = 1.938 m3; C4: 2 * 0.30m * 0.60m * 3.23m = 1.1628 m3; C5/DC: 2 * (PI * (0.45m/2)^2) * 3.23m = 1.0265 m3</t>
  </si>
  <si>
    <t>ff_columns</t>
  </si>
  <si>
    <t>FF Columns Concrete</t>
  </si>
  <si>
    <t>C1: 10 * 0.30m * 0.30m * 4.20m = 3.78 m3; C2: 4 * 0.30m * 0.40m * 4.20m = 2.016 m3; C3: 4 * 0.30m * 0.50m * 4.20m = 2.52 m3; C4: 2 * 0.30m * 0.60m * 4.20m = 1.512 m3; C5/DC: 2 * (PI * (0.45m/2)^2) * 4.20m = 1.33596 m3</t>
  </si>
  <si>
    <t>ff_beams</t>
  </si>
  <si>
    <t>First Floor Beams Concrete</t>
  </si>
  <si>
    <t>B1: 100.00m * 0.30m * (0.40m - 0.20m) = 6.00 m3; B2: 60.00m * 0.30m * (0.50m - 0.20m) = 5.40 m3; B3: 50.00m * 0.30m * (0.60m - 0.20m) = 6.00 m3</t>
  </si>
  <si>
    <t>ff_slab</t>
  </si>
  <si>
    <t>First Floor Slab Concrete</t>
  </si>
  <si>
    <t>286.848 m2 * 0.2m = 57.3696 m3</t>
  </si>
  <si>
    <t>roof_beams</t>
  </si>
  <si>
    <t>Roof Beams Concrete</t>
  </si>
  <si>
    <t>roof_slab</t>
  </si>
  <si>
    <t>Roof Slab Concrete</t>
  </si>
  <si>
    <t>parapet_concrete</t>
  </si>
  <si>
    <t>Parapet Coping Concrete</t>
  </si>
  <si>
    <t>68.64m * 0.20m * 0.20m = 2.7456 m3</t>
  </si>
  <si>
    <t>parapet_block</t>
  </si>
  <si>
    <t>Parapet Block Work</t>
  </si>
  <si>
    <t>68.64m * (1.53m - 0.20m) = 91.28 m2</t>
  </si>
  <si>
    <t>ARCHITECTURAL FINISHES — GROUND FLOOR</t>
  </si>
  <si>
    <t>block_20_ext_gf</t>
  </si>
  <si>
    <t>External Block 20cm — Ground Floor</t>
  </si>
  <si>
    <t>GF ext perimeter x H - windows - main door</t>
  </si>
  <si>
    <t>block_20_int_gf</t>
  </si>
  <si>
    <t>Internal Block 20cm — Ground Floor</t>
  </si>
  <si>
    <t>GF 20cm int walls x H - 0.4 x doors</t>
  </si>
  <si>
    <t>block_10_int_gf</t>
  </si>
  <si>
    <t>Internal Block 10cm — Ground Floor</t>
  </si>
  <si>
    <t>GF 10cm int walls x H - 0.4 x doors</t>
  </si>
  <si>
    <t>plaster_int_gf</t>
  </si>
  <si>
    <t>Internal Plaster — Ground Floor</t>
  </si>
  <si>
    <t>GF int walls x H x 2 + ext perim x H - doors x 2 - windows</t>
  </si>
  <si>
    <t>flooring_dry_gf</t>
  </si>
  <si>
    <t>Flooring Dry Areas — Ground Floor</t>
  </si>
  <si>
    <t>GF total area - wet area - balcony area</t>
  </si>
  <si>
    <t>flooring_wet_gf</t>
  </si>
  <si>
    <t>Flooring Wet Areas — Ground Floor</t>
  </si>
  <si>
    <t>GF wet rooms area</t>
  </si>
  <si>
    <t>skirting_gf</t>
  </si>
  <si>
    <t>Skirting — Ground Floor</t>
  </si>
  <si>
    <t>m</t>
  </si>
  <si>
    <t>GF dry perimeter - 0.4 x door widths sum</t>
  </si>
  <si>
    <t>paint_gf</t>
  </si>
  <si>
    <t>Paint Internal Walls — Ground Floor</t>
  </si>
  <si>
    <t>GF skirting x H</t>
  </si>
  <si>
    <t>ceiling_dry_gf</t>
  </si>
  <si>
    <t>Ceiling Dry Areas — Ground Floor</t>
  </si>
  <si>
    <t>ceiling_wet_gf</t>
  </si>
  <si>
    <t>Ceiling Wet Areas — Ground Floor</t>
  </si>
  <si>
    <t>tiles_wall_gf</t>
  </si>
  <si>
    <t>Wall Tiles Wet Areas — Ground Floor</t>
  </si>
  <si>
    <t>GF wet perimeter x (H - 0.5m)</t>
  </si>
  <si>
    <t>ARCHITECTURAL FINISHES — FIRST FLOOR</t>
  </si>
  <si>
    <t>block_20_ext_ff</t>
  </si>
  <si>
    <t>External Block 20cm — First Floor</t>
  </si>
  <si>
    <t>FF ext perimeter x H - windows - main door</t>
  </si>
  <si>
    <t>block_20_int_ff</t>
  </si>
  <si>
    <t>Internal Block 20cm — First Floor</t>
  </si>
  <si>
    <t>FF 20cm int walls x H - 0.4 x doors</t>
  </si>
  <si>
    <t>block_10_int_ff</t>
  </si>
  <si>
    <t>Internal Block 10cm — First Floor</t>
  </si>
  <si>
    <t>FF 10cm int walls x H - 0.4 x doors</t>
  </si>
  <si>
    <t>plaster_int_ff</t>
  </si>
  <si>
    <t>Internal Plaster — First Floor</t>
  </si>
  <si>
    <t>FF int walls x H x 2 + ext perim x H - doors x 2 - windows</t>
  </si>
  <si>
    <t>flooring_dry_ff</t>
  </si>
  <si>
    <t>Flooring Dry Areas — First Floor</t>
  </si>
  <si>
    <t>FF total area - wet area - balcony area</t>
  </si>
  <si>
    <t>flooring_wet_ff</t>
  </si>
  <si>
    <t>Flooring Wet Areas — First Floor</t>
  </si>
  <si>
    <t>FF wet rooms area</t>
  </si>
  <si>
    <t>skirting_ff</t>
  </si>
  <si>
    <t>Skirting — First Floor</t>
  </si>
  <si>
    <t>FF dry perimeter - 0.4 x door widths sum</t>
  </si>
  <si>
    <t>paint_ff</t>
  </si>
  <si>
    <t>Paint Internal Walls — First Floor</t>
  </si>
  <si>
    <t>FF skirting x H</t>
  </si>
  <si>
    <t>ceiling_dry_ff</t>
  </si>
  <si>
    <t>Ceiling Dry Areas — First Floor</t>
  </si>
  <si>
    <t>ceiling_wet_ff</t>
  </si>
  <si>
    <t>Ceiling Wet Areas — First Floor</t>
  </si>
  <si>
    <t>tiles_wall_ff</t>
  </si>
  <si>
    <t>Wall Tiles Wet Areas — First Floor</t>
  </si>
  <si>
    <t>FF wet perimeter x (H - 0.5m)</t>
  </si>
  <si>
    <t>ARCHITECTURAL FINISHES — GENERAL</t>
  </si>
  <si>
    <t>finish_ext</t>
  </si>
  <si>
    <t>External Wall Finish</t>
  </si>
  <si>
    <t>GF ext perimeter x 8.93m</t>
  </si>
  <si>
    <t>marble_threshold</t>
  </si>
  <si>
    <t>Marble Threshold</t>
  </si>
  <si>
    <t>RM</t>
  </si>
  <si>
    <t>Sum of all door widths GF+FF</t>
  </si>
  <si>
    <t>balcony_flooring</t>
  </si>
  <si>
    <t>Balcony Flooring</t>
  </si>
  <si>
    <t>Total balcony area GF+FF</t>
  </si>
  <si>
    <t>balcony_wp</t>
  </si>
  <si>
    <t>Balcony Waterproofing</t>
  </si>
  <si>
    <t>waterproofing</t>
  </si>
  <si>
    <t>Waterproofing FF Wet Areas</t>
  </si>
  <si>
    <t>FF wet areas only</t>
  </si>
  <si>
    <t>combo_roof</t>
  </si>
  <si>
    <t>Roof Combo (Screed + WP + Insulation)</t>
  </si>
  <si>
    <t>286.848x1.2=344.218</t>
  </si>
  <si>
    <t>doors_schedule</t>
  </si>
  <si>
    <t>Doors Schedule</t>
  </si>
  <si>
    <t>No.</t>
  </si>
  <si>
    <t>Total count of all doors (all types, all floors)</t>
  </si>
  <si>
    <t>windows_schedule</t>
  </si>
  <si>
    <t>Windows Schedule</t>
  </si>
  <si>
    <t>Sum (W x H x count) for each window type</t>
  </si>
  <si>
    <t>BILL OF QUANTITIES — PROJECT 1577</t>
  </si>
  <si>
    <t>(24.0 + 2.0) x (18.4 + 2.0) x 1.5 = 795.6</t>
  </si>
  <si>
    <t>24.0 x 18.4 x 0.2 = 88.32</t>
  </si>
  <si>
    <t>F1: 13 x (1.60+0.10) x (1.90+0.10) x 0.10 = 4.42 | F2: 5 x (2.40+0.10) x (2.90+0.10) x 0.10 = 3.75 | F3: 3 x (1.90+0.10) x (2.00+0.10) x 0.10 = 1.26 | F4: 6 x (2.20+0.10) x (2.40+0.10) x 0.10 = 3.45 | F5: 1 x (2.80+0.10) x (3.30+0.10) x 0.10 = 0.986 | F6: 6 x (1.00+0.10) x (1.10+0.10) x 0.10 = 0.792 | Total = 14.658</t>
  </si>
  <si>
    <t>TB1: 181.00 x (0.30 + 0.20) x 0.10 = 9.05 | TB2: 48.00 x (0.30 + 0.20) x 0.10 = 2.40 | TB3: 96.00 x (0.30 + 0.20) x 0.10 = 4.80 | Total = 16.25</t>
  </si>
  <si>
    <t>F1: 13 x 1.60 x 1.90 x 0.40 = 15.808 | F2: 5 x 2.40 x 2.90 x 0.40 = 13.92 | F3: 3 x 1.90 x 2.00 x 0.40 = 4.56 | F4: 6 x 2.20 x 2.40 x 0.40 = 12.672 | F5: 1 x 2.80 x 3.30 x 0.40 = 3.696 | F6: 6 x 1.00 x 1.10 x 0.40 = 2.64 | Total = 53.296</t>
  </si>
  <si>
    <t>H_neck = (1.5 + 0.80) - 0.40 = 1.90m. C1 (F6): 6 x 0.30 x 0.30 x 1.90 = 1.026 | C2 (F1): 13 x 0.30 x 0.40 x 1.90 = 2.964 | C3 (F3): 3 x 0.30 x 0.50 x 1.90 = 0.855 | C4 (F2,F4,F5): 12 x 0.30 x 0.60 x 1.90 = 4.104 | Total = 8.949</t>
  </si>
  <si>
    <t>TB1: 181.00 x 0.30 x 0.60 = 32.58 | TB2: 48.00 x 0.30 x 0.50 = 7.20 | TB3: 96.00 x 0.30 x 0.40 = 11.52 | Total = 51.30</t>
  </si>
  <si>
    <t>Footing sides: 104.00 | Footing tops: 133.24 | NC sides: 98.70 | GFPerimeter x SolidBlockH x 2: 84.8 x 2.10 x 2 = 356.16 | TBLength x TBWidth: 325.00 x 0.30 = 97.50 | Total = 789.60</t>
  </si>
  <si>
    <t>GFPerimeter = 84.8m. Height = (excav_depth + GF_level) - deepest_TB_depth = (1.5 + 0.8) - 0.20 = 2.10m. Area = 84.8 x 2.10 = 178.08</t>
  </si>
  <si>
    <t>24.0 x 18.4 x 0.10 = 44.16</t>
  </si>
  <si>
    <t>PCC Footings Area: 146.58 | PCC TB Area: 162.50 | SoG Area: 441.60 | Total = 750.68</t>
  </si>
  <si>
    <t>750.68 x 1.15 = 863.282</t>
  </si>
  <si>
    <t>Excavation Volume = 795.6. Sum of concrete+block volumes = 53.296 (Footing Conc) + 8.949 (NC Conc) + 51.30 (TB Conc) + 44.16 (SoG Conc) + 14.658 (PCC Ftg) + 16.25 (PCC TB) + 88.32 (Road Base) + (178.08 x 0.20) (Block Vol) = 312.549. Backfill = 795.6 - 312.549 = 483.051</t>
  </si>
  <si>
    <t>—</t>
  </si>
  <si>
    <t>ext_perim 82.30m x 3.2m H - win 56.85m2 - main door 5.94m2</t>
  </si>
  <si>
    <t>int_walls_20cm 59.55m x 3.2m H - 0.4 x doors 39.79m2</t>
  </si>
  <si>
    <t>int_walls_10cm 33.90m x 3.2m H - 0.4 x doors 39.79m2</t>
  </si>
  <si>
    <t>int_walls 93.45m x 3.2m H x 2 + ext_perim 82.30m x 3.2m H - doors 39.79m2 x 2 - win 56.85m2</t>
  </si>
  <si>
    <t>total area - wet area</t>
  </si>
  <si>
    <t>W.C., BATH, KITCHEN, PANTRY, LAUNDRY</t>
  </si>
  <si>
    <t>dry perim 119.95m - 0.4 x door widths 16.00m</t>
  </si>
  <si>
    <t>skirting 113.55m x 3.2m H</t>
  </si>
  <si>
    <t>wet perim 55.80m x (3.2m H - 0.5m)</t>
  </si>
  <si>
    <t>ext_perim 82.30m x 3.2m H - win 35.13m2 - main door 0m2</t>
  </si>
  <si>
    <t>int_walls_20cm 38.95m x 3.2m H - 0.4 x doors 6.16m2</t>
  </si>
  <si>
    <t>int_walls_10cm 14.85m x 3.2m H - 0.4 x doors 6.16m2</t>
  </si>
  <si>
    <t>int_walls 53.80m x 3.2m H x 2 + ext_perim 82.30m x 3.2m H - doors 6.16m2 x 2 - win 35.13m2</t>
  </si>
  <si>
    <t>total area - wet area - balcony area</t>
  </si>
  <si>
    <t>BATH</t>
  </si>
  <si>
    <t>dry perim 106.40m - 0.4 x door widths 2.80m</t>
  </si>
  <si>
    <t>skirting 105.28m x 3.2m H</t>
  </si>
  <si>
    <t>wet perim 29.70m x (3.2m H - 0.5m)</t>
  </si>
  <si>
    <t>ext_perim 82.30m x 7.9m H</t>
  </si>
  <si>
    <t>total door widths GF 16.00m + FF 2.80m</t>
  </si>
  <si>
    <t>FF balcony 3.50m x 7.20m</t>
  </si>
  <si>
    <t>FF wet only</t>
  </si>
  <si>
    <t>160.0x1.2=192.0</t>
  </si>
  <si>
    <t>total count all doors GF+FF</t>
  </si>
  <si>
    <t>sum of all window areas from schedule</t>
  </si>
  <si>
    <t>QTO COMPARISON — PROJECT 3246  vs  PROJECT 1577</t>
  </si>
  <si>
    <t>QTY — 3246</t>
  </si>
  <si>
    <t>QTY — 1577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</si>
</sst>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color rgb="FFFFFFFF"/>
      <name val="Calibri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  <font>
      <b/>
      <sz val="10"/>
      <color rgb="FF375623"/>
      <name val="Calibri"/>
    </font>
    <font>
      <b/>
      <sz val="13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EBF3FB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/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left" vertical="center" wrapText="1"/>
    </xf>
    <xf numFmtId="0" fontId="0" fillId="8" borderId="0" xfId="0" applyFill="1"/>
    <xf numFmtId="0" fontId="3" fillId="3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0" fontId="7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workbookViewId="0">
      <selection activeCell="F6" sqref="F6"/>
    </sheetView>
  </sheetViews>
  <sheetFormatPr defaultRowHeight="14.4" x14ac:dyDescent="0.3"/>
  <cols>
    <col min="1" max="1" width="5" customWidth="1"/>
    <col min="2" max="2" width="28" customWidth="1"/>
    <col min="3" max="3" width="48" customWidth="1"/>
    <col min="4" max="4" width="8" customWidth="1"/>
    <col min="5" max="5" width="14" customWidth="1"/>
    <col min="6" max="6" width="55" customWidth="1"/>
  </cols>
  <sheetData>
    <row r="1" spans="1:6" x14ac:dyDescent="0.3">
      <c r="A1" s="12" t="s">
        <v>0</v>
      </c>
      <c r="B1" s="10"/>
      <c r="C1" s="10"/>
      <c r="D1" s="10"/>
      <c r="E1" s="10"/>
      <c r="F1" s="11"/>
    </row>
    <row r="2" spans="1:6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3">
      <c r="A3" s="9" t="s">
        <v>7</v>
      </c>
      <c r="B3" s="10"/>
      <c r="C3" s="10"/>
      <c r="D3" s="10"/>
      <c r="E3" s="10"/>
      <c r="F3" s="11"/>
    </row>
    <row r="4" spans="1:6" x14ac:dyDescent="0.3">
      <c r="A4" s="2">
        <v>1</v>
      </c>
      <c r="B4" s="3" t="s">
        <v>8</v>
      </c>
      <c r="C4" s="3" t="s">
        <v>9</v>
      </c>
      <c r="D4" s="4" t="s">
        <v>10</v>
      </c>
      <c r="E4" s="5">
        <v>609.98800000000006</v>
      </c>
      <c r="F4" s="3" t="s">
        <v>11</v>
      </c>
    </row>
    <row r="5" spans="1:6" x14ac:dyDescent="0.3">
      <c r="A5" s="6">
        <v>2</v>
      </c>
      <c r="B5" s="7" t="s">
        <v>12</v>
      </c>
      <c r="C5" s="7" t="s">
        <v>13</v>
      </c>
      <c r="D5" s="4" t="s">
        <v>10</v>
      </c>
      <c r="E5" s="5">
        <v>55.353999999999999</v>
      </c>
      <c r="F5" s="7" t="s">
        <v>14</v>
      </c>
    </row>
    <row r="6" spans="1:6" ht="96.6" x14ac:dyDescent="0.3">
      <c r="A6" s="2">
        <v>3</v>
      </c>
      <c r="B6" s="3" t="s">
        <v>15</v>
      </c>
      <c r="C6" s="3" t="s">
        <v>16</v>
      </c>
      <c r="D6" s="4" t="s">
        <v>10</v>
      </c>
      <c r="E6" s="5">
        <v>24.77</v>
      </c>
      <c r="F6" s="3" t="s">
        <v>17</v>
      </c>
    </row>
    <row r="7" spans="1:6" ht="41.4" x14ac:dyDescent="0.3">
      <c r="A7" s="6">
        <v>4</v>
      </c>
      <c r="B7" s="7" t="s">
        <v>18</v>
      </c>
      <c r="C7" s="7" t="s">
        <v>19</v>
      </c>
      <c r="D7" s="4" t="s">
        <v>10</v>
      </c>
      <c r="E7" s="5">
        <v>8.6270000000000007</v>
      </c>
      <c r="F7" s="7" t="s">
        <v>20</v>
      </c>
    </row>
    <row r="8" spans="1:6" ht="55.2" x14ac:dyDescent="0.3">
      <c r="A8" s="2">
        <v>5</v>
      </c>
      <c r="B8" s="3" t="s">
        <v>21</v>
      </c>
      <c r="C8" s="3" t="s">
        <v>22</v>
      </c>
      <c r="D8" s="4" t="s">
        <v>10</v>
      </c>
      <c r="E8" s="5">
        <v>115.008</v>
      </c>
      <c r="F8" s="3" t="s">
        <v>23</v>
      </c>
    </row>
    <row r="9" spans="1:6" ht="69" x14ac:dyDescent="0.3">
      <c r="A9" s="6">
        <v>6</v>
      </c>
      <c r="B9" s="7" t="s">
        <v>24</v>
      </c>
      <c r="C9" s="7" t="s">
        <v>25</v>
      </c>
      <c r="D9" s="4" t="s">
        <v>10</v>
      </c>
      <c r="E9" s="5">
        <v>6.4489999999999998</v>
      </c>
      <c r="F9" s="7" t="s">
        <v>26</v>
      </c>
    </row>
    <row r="10" spans="1:6" ht="27.6" x14ac:dyDescent="0.3">
      <c r="A10" s="2">
        <v>7</v>
      </c>
      <c r="B10" s="3" t="s">
        <v>27</v>
      </c>
      <c r="C10" s="3" t="s">
        <v>28</v>
      </c>
      <c r="D10" s="4" t="s">
        <v>10</v>
      </c>
      <c r="E10" s="5">
        <v>21.887</v>
      </c>
      <c r="F10" s="3" t="s">
        <v>29</v>
      </c>
    </row>
    <row r="11" spans="1:6" ht="27.6" x14ac:dyDescent="0.3">
      <c r="A11" s="6">
        <v>8</v>
      </c>
      <c r="B11" s="7" t="s">
        <v>30</v>
      </c>
      <c r="C11" s="7" t="s">
        <v>31</v>
      </c>
      <c r="D11" s="4" t="s">
        <v>32</v>
      </c>
      <c r="E11" s="5">
        <v>655.4</v>
      </c>
      <c r="F11" s="7" t="s">
        <v>33</v>
      </c>
    </row>
    <row r="12" spans="1:6" ht="27.6" x14ac:dyDescent="0.3">
      <c r="A12" s="2">
        <v>9</v>
      </c>
      <c r="B12" s="3" t="s">
        <v>34</v>
      </c>
      <c r="C12" s="3" t="s">
        <v>35</v>
      </c>
      <c r="D12" s="4" t="s">
        <v>32</v>
      </c>
      <c r="E12" s="5">
        <v>63.878</v>
      </c>
      <c r="F12" s="3" t="s">
        <v>36</v>
      </c>
    </row>
    <row r="13" spans="1:6" x14ac:dyDescent="0.3">
      <c r="A13" s="6">
        <v>10</v>
      </c>
      <c r="B13" s="7" t="s">
        <v>37</v>
      </c>
      <c r="C13" s="7" t="s">
        <v>38</v>
      </c>
      <c r="D13" s="4" t="s">
        <v>10</v>
      </c>
      <c r="E13" s="5">
        <v>27.677</v>
      </c>
      <c r="F13" s="7" t="s">
        <v>39</v>
      </c>
    </row>
    <row r="14" spans="1:6" ht="27.6" x14ac:dyDescent="0.3">
      <c r="A14" s="2">
        <v>11</v>
      </c>
      <c r="B14" s="3" t="s">
        <v>40</v>
      </c>
      <c r="C14" s="3" t="s">
        <v>41</v>
      </c>
      <c r="D14" s="4" t="s">
        <v>32</v>
      </c>
      <c r="E14" s="5">
        <v>610.73400000000004</v>
      </c>
      <c r="F14" s="3" t="s">
        <v>42</v>
      </c>
    </row>
    <row r="15" spans="1:6" x14ac:dyDescent="0.3">
      <c r="A15" s="6">
        <v>12</v>
      </c>
      <c r="B15" s="7" t="s">
        <v>43</v>
      </c>
      <c r="C15" s="7" t="s">
        <v>44</v>
      </c>
      <c r="D15" s="4" t="s">
        <v>32</v>
      </c>
      <c r="E15" s="5">
        <v>702.34400000000005</v>
      </c>
      <c r="F15" s="7" t="s">
        <v>45</v>
      </c>
    </row>
    <row r="16" spans="1:6" ht="27.6" x14ac:dyDescent="0.3">
      <c r="A16" s="2">
        <v>13</v>
      </c>
      <c r="B16" s="3" t="s">
        <v>46</v>
      </c>
      <c r="C16" s="3" t="s">
        <v>47</v>
      </c>
      <c r="D16" s="4" t="s">
        <v>10</v>
      </c>
      <c r="E16" s="5">
        <v>337.44099999999997</v>
      </c>
      <c r="F16" s="3" t="s">
        <v>48</v>
      </c>
    </row>
    <row r="17" spans="1:6" x14ac:dyDescent="0.3">
      <c r="A17" s="8"/>
      <c r="B17" s="8"/>
      <c r="C17" s="8"/>
      <c r="D17" s="8"/>
      <c r="E17" s="8"/>
      <c r="F17" s="8"/>
    </row>
    <row r="18" spans="1:6" x14ac:dyDescent="0.3">
      <c r="A18" s="9" t="s">
        <v>49</v>
      </c>
      <c r="B18" s="10"/>
      <c r="C18" s="10"/>
      <c r="D18" s="10"/>
      <c r="E18" s="10"/>
      <c r="F18" s="11"/>
    </row>
    <row r="19" spans="1:6" ht="55.2" x14ac:dyDescent="0.3">
      <c r="A19" s="6">
        <v>14</v>
      </c>
      <c r="B19" s="7" t="s">
        <v>50</v>
      </c>
      <c r="C19" s="7" t="s">
        <v>51</v>
      </c>
      <c r="D19" s="4" t="s">
        <v>10</v>
      </c>
      <c r="E19" s="5">
        <v>8.5850000000000009</v>
      </c>
      <c r="F19" s="7" t="s">
        <v>52</v>
      </c>
    </row>
    <row r="20" spans="1:6" ht="55.2" x14ac:dyDescent="0.3">
      <c r="A20" s="2">
        <v>15</v>
      </c>
      <c r="B20" s="3" t="s">
        <v>53</v>
      </c>
      <c r="C20" s="3" t="s">
        <v>54</v>
      </c>
      <c r="D20" s="4" t="s">
        <v>10</v>
      </c>
      <c r="E20" s="5">
        <v>11.164</v>
      </c>
      <c r="F20" s="3" t="s">
        <v>55</v>
      </c>
    </row>
    <row r="21" spans="1:6" ht="41.4" x14ac:dyDescent="0.3">
      <c r="A21" s="6">
        <v>16</v>
      </c>
      <c r="B21" s="7" t="s">
        <v>56</v>
      </c>
      <c r="C21" s="7" t="s">
        <v>57</v>
      </c>
      <c r="D21" s="4" t="s">
        <v>10</v>
      </c>
      <c r="E21" s="5">
        <v>17.399999999999999</v>
      </c>
      <c r="F21" s="7" t="s">
        <v>58</v>
      </c>
    </row>
    <row r="22" spans="1:6" x14ac:dyDescent="0.3">
      <c r="A22" s="2">
        <v>17</v>
      </c>
      <c r="B22" s="3" t="s">
        <v>59</v>
      </c>
      <c r="C22" s="3" t="s">
        <v>60</v>
      </c>
      <c r="D22" s="4" t="s">
        <v>10</v>
      </c>
      <c r="E22" s="5">
        <v>57.37</v>
      </c>
      <c r="F22" s="3" t="s">
        <v>61</v>
      </c>
    </row>
    <row r="23" spans="1:6" ht="41.4" x14ac:dyDescent="0.3">
      <c r="A23" s="6">
        <v>18</v>
      </c>
      <c r="B23" s="7" t="s">
        <v>62</v>
      </c>
      <c r="C23" s="7" t="s">
        <v>63</v>
      </c>
      <c r="D23" s="4" t="s">
        <v>10</v>
      </c>
      <c r="E23" s="5">
        <v>17.399999999999999</v>
      </c>
      <c r="F23" s="7" t="s">
        <v>58</v>
      </c>
    </row>
    <row r="24" spans="1:6" x14ac:dyDescent="0.3">
      <c r="A24" s="2">
        <v>19</v>
      </c>
      <c r="B24" s="3" t="s">
        <v>64</v>
      </c>
      <c r="C24" s="3" t="s">
        <v>65</v>
      </c>
      <c r="D24" s="4" t="s">
        <v>10</v>
      </c>
      <c r="E24" s="5">
        <v>57.37</v>
      </c>
      <c r="F24" s="3" t="s">
        <v>61</v>
      </c>
    </row>
    <row r="25" spans="1:6" x14ac:dyDescent="0.3">
      <c r="A25" s="6">
        <v>20</v>
      </c>
      <c r="B25" s="7" t="s">
        <v>66</v>
      </c>
      <c r="C25" s="7" t="s">
        <v>67</v>
      </c>
      <c r="D25" s="4" t="s">
        <v>10</v>
      </c>
      <c r="E25" s="5">
        <v>2.746</v>
      </c>
      <c r="F25" s="7" t="s">
        <v>68</v>
      </c>
    </row>
    <row r="26" spans="1:6" x14ac:dyDescent="0.3">
      <c r="A26" s="2">
        <v>21</v>
      </c>
      <c r="B26" s="3" t="s">
        <v>69</v>
      </c>
      <c r="C26" s="3" t="s">
        <v>70</v>
      </c>
      <c r="D26" s="4" t="s">
        <v>32</v>
      </c>
      <c r="E26" s="5">
        <v>91.28</v>
      </c>
      <c r="F26" s="3" t="s">
        <v>71</v>
      </c>
    </row>
    <row r="27" spans="1:6" x14ac:dyDescent="0.3">
      <c r="A27" s="8"/>
      <c r="B27" s="8"/>
      <c r="C27" s="8"/>
      <c r="D27" s="8"/>
      <c r="E27" s="8"/>
      <c r="F27" s="8"/>
    </row>
    <row r="28" spans="1:6" x14ac:dyDescent="0.3">
      <c r="A28" s="9" t="s">
        <v>72</v>
      </c>
      <c r="B28" s="10"/>
      <c r="C28" s="10"/>
      <c r="D28" s="10"/>
      <c r="E28" s="10"/>
      <c r="F28" s="11"/>
    </row>
    <row r="29" spans="1:6" x14ac:dyDescent="0.3">
      <c r="A29" s="6">
        <v>22</v>
      </c>
      <c r="B29" s="7" t="s">
        <v>73</v>
      </c>
      <c r="C29" s="7" t="s">
        <v>74</v>
      </c>
      <c r="D29" s="4" t="s">
        <v>32</v>
      </c>
      <c r="E29" s="5">
        <v>175.43700000000001</v>
      </c>
      <c r="F29" s="7" t="s">
        <v>75</v>
      </c>
    </row>
    <row r="30" spans="1:6" x14ac:dyDescent="0.3">
      <c r="A30" s="2">
        <v>23</v>
      </c>
      <c r="B30" s="3" t="s">
        <v>76</v>
      </c>
      <c r="C30" s="3" t="s">
        <v>77</v>
      </c>
      <c r="D30" s="4" t="s">
        <v>32</v>
      </c>
      <c r="E30" s="5">
        <v>400.57400000000001</v>
      </c>
      <c r="F30" s="3" t="s">
        <v>78</v>
      </c>
    </row>
    <row r="31" spans="1:6" x14ac:dyDescent="0.3">
      <c r="A31" s="6">
        <v>24</v>
      </c>
      <c r="B31" s="7" t="s">
        <v>79</v>
      </c>
      <c r="C31" s="7" t="s">
        <v>80</v>
      </c>
      <c r="D31" s="4" t="s">
        <v>32</v>
      </c>
      <c r="E31" s="5">
        <v>171.244</v>
      </c>
      <c r="F31" s="7" t="s">
        <v>81</v>
      </c>
    </row>
    <row r="32" spans="1:6" x14ac:dyDescent="0.3">
      <c r="A32" s="2">
        <v>25</v>
      </c>
      <c r="B32" s="3" t="s">
        <v>82</v>
      </c>
      <c r="C32" s="3" t="s">
        <v>83</v>
      </c>
      <c r="D32" s="4" t="s">
        <v>32</v>
      </c>
      <c r="E32" s="5">
        <v>1313.077</v>
      </c>
      <c r="F32" s="3" t="s">
        <v>84</v>
      </c>
    </row>
    <row r="33" spans="1:6" x14ac:dyDescent="0.3">
      <c r="A33" s="6">
        <v>26</v>
      </c>
      <c r="B33" s="7" t="s">
        <v>85</v>
      </c>
      <c r="C33" s="7" t="s">
        <v>86</v>
      </c>
      <c r="D33" s="4" t="s">
        <v>32</v>
      </c>
      <c r="E33" s="5">
        <v>147.25</v>
      </c>
      <c r="F33" s="7" t="s">
        <v>87</v>
      </c>
    </row>
    <row r="34" spans="1:6" x14ac:dyDescent="0.3">
      <c r="A34" s="2">
        <v>27</v>
      </c>
      <c r="B34" s="3" t="s">
        <v>88</v>
      </c>
      <c r="C34" s="3" t="s">
        <v>89</v>
      </c>
      <c r="D34" s="4" t="s">
        <v>32</v>
      </c>
      <c r="E34" s="5">
        <v>48.75</v>
      </c>
      <c r="F34" s="3" t="s">
        <v>90</v>
      </c>
    </row>
    <row r="35" spans="1:6" x14ac:dyDescent="0.3">
      <c r="A35" s="6">
        <v>28</v>
      </c>
      <c r="B35" s="7" t="s">
        <v>91</v>
      </c>
      <c r="C35" s="7" t="s">
        <v>92</v>
      </c>
      <c r="D35" s="4" t="s">
        <v>93</v>
      </c>
      <c r="E35" s="5">
        <v>184.52</v>
      </c>
      <c r="F35" s="7" t="s">
        <v>94</v>
      </c>
    </row>
    <row r="36" spans="1:6" x14ac:dyDescent="0.3">
      <c r="A36" s="2">
        <v>29</v>
      </c>
      <c r="B36" s="3" t="s">
        <v>95</v>
      </c>
      <c r="C36" s="3" t="s">
        <v>96</v>
      </c>
      <c r="D36" s="4" t="s">
        <v>32</v>
      </c>
      <c r="E36" s="5">
        <v>596.00400000000002</v>
      </c>
      <c r="F36" s="3" t="s">
        <v>97</v>
      </c>
    </row>
    <row r="37" spans="1:6" x14ac:dyDescent="0.3">
      <c r="A37" s="6">
        <v>30</v>
      </c>
      <c r="B37" s="7" t="s">
        <v>98</v>
      </c>
      <c r="C37" s="7" t="s">
        <v>99</v>
      </c>
      <c r="D37" s="4" t="s">
        <v>32</v>
      </c>
      <c r="E37" s="5">
        <v>147.25</v>
      </c>
      <c r="F37" s="7" t="e">
        <f>flooring_dry_gf</f>
        <v>#NAME?</v>
      </c>
    </row>
    <row r="38" spans="1:6" x14ac:dyDescent="0.3">
      <c r="A38" s="2">
        <v>31</v>
      </c>
      <c r="B38" s="3" t="s">
        <v>100</v>
      </c>
      <c r="C38" s="3" t="s">
        <v>101</v>
      </c>
      <c r="D38" s="4" t="s">
        <v>32</v>
      </c>
      <c r="E38" s="5">
        <v>48.75</v>
      </c>
      <c r="F38" s="3" t="e">
        <f>flooring_wet_gf</f>
        <v>#NAME?</v>
      </c>
    </row>
    <row r="39" spans="1:6" x14ac:dyDescent="0.3">
      <c r="A39" s="6">
        <v>32</v>
      </c>
      <c r="B39" s="7" t="s">
        <v>102</v>
      </c>
      <c r="C39" s="7" t="s">
        <v>103</v>
      </c>
      <c r="D39" s="4" t="s">
        <v>32</v>
      </c>
      <c r="E39" s="5">
        <v>174.72</v>
      </c>
      <c r="F39" s="7" t="s">
        <v>104</v>
      </c>
    </row>
    <row r="40" spans="1:6" x14ac:dyDescent="0.3">
      <c r="A40" s="8"/>
      <c r="B40" s="8"/>
      <c r="C40" s="8"/>
      <c r="D40" s="8"/>
      <c r="E40" s="8"/>
      <c r="F40" s="8"/>
    </row>
    <row r="41" spans="1:6" x14ac:dyDescent="0.3">
      <c r="A41" s="9" t="s">
        <v>105</v>
      </c>
      <c r="B41" s="10"/>
      <c r="C41" s="10"/>
      <c r="D41" s="10"/>
      <c r="E41" s="10"/>
      <c r="F41" s="11"/>
    </row>
    <row r="42" spans="1:6" x14ac:dyDescent="0.3">
      <c r="A42" s="2">
        <v>33</v>
      </c>
      <c r="B42" s="3" t="s">
        <v>106</v>
      </c>
      <c r="C42" s="3" t="s">
        <v>107</v>
      </c>
      <c r="D42" s="4" t="s">
        <v>32</v>
      </c>
      <c r="E42" s="5">
        <v>232</v>
      </c>
      <c r="F42" s="3" t="s">
        <v>108</v>
      </c>
    </row>
    <row r="43" spans="1:6" x14ac:dyDescent="0.3">
      <c r="A43" s="6">
        <v>34</v>
      </c>
      <c r="B43" s="7" t="s">
        <v>109</v>
      </c>
      <c r="C43" s="7" t="s">
        <v>110</v>
      </c>
      <c r="D43" s="4" t="s">
        <v>32</v>
      </c>
      <c r="E43" s="5">
        <v>528.60400000000004</v>
      </c>
      <c r="F43" s="7" t="s">
        <v>111</v>
      </c>
    </row>
    <row r="44" spans="1:6" x14ac:dyDescent="0.3">
      <c r="A44" s="2">
        <v>35</v>
      </c>
      <c r="B44" s="3" t="s">
        <v>112</v>
      </c>
      <c r="C44" s="3" t="s">
        <v>113</v>
      </c>
      <c r="D44" s="4" t="s">
        <v>32</v>
      </c>
      <c r="E44" s="5">
        <v>230.404</v>
      </c>
      <c r="F44" s="3" t="s">
        <v>114</v>
      </c>
    </row>
    <row r="45" spans="1:6" x14ac:dyDescent="0.3">
      <c r="A45" s="6">
        <v>36</v>
      </c>
      <c r="B45" s="7" t="s">
        <v>115</v>
      </c>
      <c r="C45" s="7" t="s">
        <v>116</v>
      </c>
      <c r="D45" s="4" t="s">
        <v>32</v>
      </c>
      <c r="E45" s="5">
        <v>1745.22</v>
      </c>
      <c r="F45" s="7" t="s">
        <v>117</v>
      </c>
    </row>
    <row r="46" spans="1:6" x14ac:dyDescent="0.3">
      <c r="A46" s="2">
        <v>37</v>
      </c>
      <c r="B46" s="3" t="s">
        <v>118</v>
      </c>
      <c r="C46" s="3" t="s">
        <v>119</v>
      </c>
      <c r="D46" s="4" t="s">
        <v>32</v>
      </c>
      <c r="E46" s="5">
        <v>140.5</v>
      </c>
      <c r="F46" s="3" t="s">
        <v>120</v>
      </c>
    </row>
    <row r="47" spans="1:6" x14ac:dyDescent="0.3">
      <c r="A47" s="6">
        <v>38</v>
      </c>
      <c r="B47" s="7" t="s">
        <v>121</v>
      </c>
      <c r="C47" s="7" t="s">
        <v>122</v>
      </c>
      <c r="D47" s="4" t="s">
        <v>32</v>
      </c>
      <c r="E47" s="5">
        <v>20</v>
      </c>
      <c r="F47" s="7" t="s">
        <v>123</v>
      </c>
    </row>
    <row r="48" spans="1:6" x14ac:dyDescent="0.3">
      <c r="A48" s="2">
        <v>39</v>
      </c>
      <c r="B48" s="3" t="s">
        <v>124</v>
      </c>
      <c r="C48" s="3" t="s">
        <v>125</v>
      </c>
      <c r="D48" s="4" t="s">
        <v>93</v>
      </c>
      <c r="E48" s="5">
        <v>220.82</v>
      </c>
      <c r="F48" s="3" t="s">
        <v>126</v>
      </c>
    </row>
    <row r="49" spans="1:6" x14ac:dyDescent="0.3">
      <c r="A49" s="6">
        <v>40</v>
      </c>
      <c r="B49" s="7" t="s">
        <v>127</v>
      </c>
      <c r="C49" s="7" t="s">
        <v>128</v>
      </c>
      <c r="D49" s="4" t="s">
        <v>32</v>
      </c>
      <c r="E49" s="5">
        <v>927.44399999999996</v>
      </c>
      <c r="F49" s="7" t="s">
        <v>129</v>
      </c>
    </row>
    <row r="50" spans="1:6" x14ac:dyDescent="0.3">
      <c r="A50" s="2">
        <v>41</v>
      </c>
      <c r="B50" s="3" t="s">
        <v>130</v>
      </c>
      <c r="C50" s="3" t="s">
        <v>131</v>
      </c>
      <c r="D50" s="4" t="s">
        <v>32</v>
      </c>
      <c r="E50" s="5">
        <v>140.5</v>
      </c>
      <c r="F50" s="3" t="e">
        <f>flooring_dry_ff</f>
        <v>#NAME?</v>
      </c>
    </row>
    <row r="51" spans="1:6" x14ac:dyDescent="0.3">
      <c r="A51" s="6">
        <v>42</v>
      </c>
      <c r="B51" s="7" t="s">
        <v>132</v>
      </c>
      <c r="C51" s="7" t="s">
        <v>133</v>
      </c>
      <c r="D51" s="4" t="s">
        <v>32</v>
      </c>
      <c r="E51" s="5">
        <v>20</v>
      </c>
      <c r="F51" s="7" t="e">
        <f>flooring_wet_ff</f>
        <v>#NAME?</v>
      </c>
    </row>
    <row r="52" spans="1:6" x14ac:dyDescent="0.3">
      <c r="A52" s="2">
        <v>43</v>
      </c>
      <c r="B52" s="3" t="s">
        <v>134</v>
      </c>
      <c r="C52" s="3" t="s">
        <v>135</v>
      </c>
      <c r="D52" s="4" t="s">
        <v>32</v>
      </c>
      <c r="E52" s="5">
        <v>96.2</v>
      </c>
      <c r="F52" s="3" t="s">
        <v>136</v>
      </c>
    </row>
    <row r="53" spans="1:6" x14ac:dyDescent="0.3">
      <c r="A53" s="8"/>
      <c r="B53" s="8"/>
      <c r="C53" s="8"/>
      <c r="D53" s="8"/>
      <c r="E53" s="8"/>
      <c r="F53" s="8"/>
    </row>
    <row r="54" spans="1:6" x14ac:dyDescent="0.3">
      <c r="A54" s="9" t="s">
        <v>137</v>
      </c>
      <c r="B54" s="10"/>
      <c r="C54" s="10"/>
      <c r="D54" s="10"/>
      <c r="E54" s="10"/>
      <c r="F54" s="11"/>
    </row>
    <row r="55" spans="1:6" x14ac:dyDescent="0.3">
      <c r="A55" s="6">
        <v>44</v>
      </c>
      <c r="B55" s="7" t="s">
        <v>138</v>
      </c>
      <c r="C55" s="7" t="s">
        <v>139</v>
      </c>
      <c r="D55" s="4" t="s">
        <v>32</v>
      </c>
      <c r="E55" s="5">
        <v>623.90700000000004</v>
      </c>
      <c r="F55" s="7" t="s">
        <v>140</v>
      </c>
    </row>
    <row r="56" spans="1:6" x14ac:dyDescent="0.3">
      <c r="A56" s="2">
        <v>45</v>
      </c>
      <c r="B56" s="3" t="s">
        <v>141</v>
      </c>
      <c r="C56" s="3" t="s">
        <v>142</v>
      </c>
      <c r="D56" s="4" t="s">
        <v>143</v>
      </c>
      <c r="E56" s="5">
        <v>16.399999999999999</v>
      </c>
      <c r="F56" s="3" t="s">
        <v>144</v>
      </c>
    </row>
    <row r="57" spans="1:6" x14ac:dyDescent="0.3">
      <c r="A57" s="6">
        <v>46</v>
      </c>
      <c r="B57" s="7" t="s">
        <v>145</v>
      </c>
      <c r="C57" s="7" t="s">
        <v>146</v>
      </c>
      <c r="D57" s="4" t="s">
        <v>32</v>
      </c>
      <c r="E57" s="5">
        <v>63.5</v>
      </c>
      <c r="F57" s="7" t="s">
        <v>147</v>
      </c>
    </row>
    <row r="58" spans="1:6" x14ac:dyDescent="0.3">
      <c r="A58" s="2">
        <v>47</v>
      </c>
      <c r="B58" s="3" t="s">
        <v>148</v>
      </c>
      <c r="C58" s="3" t="s">
        <v>149</v>
      </c>
      <c r="D58" s="4" t="s">
        <v>32</v>
      </c>
      <c r="E58" s="5">
        <v>63.5</v>
      </c>
      <c r="F58" s="3" t="e">
        <f>balcony_flooring</f>
        <v>#NAME?</v>
      </c>
    </row>
    <row r="59" spans="1:6" x14ac:dyDescent="0.3">
      <c r="A59" s="6">
        <v>48</v>
      </c>
      <c r="B59" s="7" t="s">
        <v>150</v>
      </c>
      <c r="C59" s="7" t="s">
        <v>151</v>
      </c>
      <c r="D59" s="4" t="s">
        <v>32</v>
      </c>
      <c r="E59" s="5">
        <v>20</v>
      </c>
      <c r="F59" s="7" t="s">
        <v>152</v>
      </c>
    </row>
    <row r="60" spans="1:6" x14ac:dyDescent="0.3">
      <c r="A60" s="2">
        <v>49</v>
      </c>
      <c r="B60" s="3" t="s">
        <v>153</v>
      </c>
      <c r="C60" s="3" t="s">
        <v>154</v>
      </c>
      <c r="D60" s="4" t="s">
        <v>32</v>
      </c>
      <c r="E60" s="5">
        <v>344.21800000000002</v>
      </c>
      <c r="F60" s="3" t="s">
        <v>155</v>
      </c>
    </row>
    <row r="61" spans="1:6" x14ac:dyDescent="0.3">
      <c r="A61" s="6">
        <v>50</v>
      </c>
      <c r="B61" s="7" t="s">
        <v>156</v>
      </c>
      <c r="C61" s="7" t="s">
        <v>157</v>
      </c>
      <c r="D61" s="4" t="s">
        <v>158</v>
      </c>
      <c r="E61" s="5">
        <v>16</v>
      </c>
      <c r="F61" s="7" t="s">
        <v>159</v>
      </c>
    </row>
    <row r="62" spans="1:6" x14ac:dyDescent="0.3">
      <c r="A62" s="2">
        <v>51</v>
      </c>
      <c r="B62" s="3" t="s">
        <v>160</v>
      </c>
      <c r="C62" s="3" t="s">
        <v>161</v>
      </c>
      <c r="D62" s="4" t="s">
        <v>32</v>
      </c>
      <c r="E62" s="5">
        <v>90.4</v>
      </c>
      <c r="F62" s="3" t="s">
        <v>162</v>
      </c>
    </row>
    <row r="63" spans="1:6" ht="16.2" customHeight="1" x14ac:dyDescent="0.3">
      <c r="A63" s="8"/>
      <c r="B63" s="8"/>
      <c r="C63" s="8"/>
      <c r="D63" s="8"/>
      <c r="E63" s="8"/>
      <c r="F63" s="8"/>
    </row>
  </sheetData>
  <mergeCells count="6">
    <mergeCell ref="A41:F41"/>
    <mergeCell ref="A54:F54"/>
    <mergeCell ref="A28:F28"/>
    <mergeCell ref="A1:F1"/>
    <mergeCell ref="A18:F18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3"/>
  <sheetViews>
    <sheetView tabSelected="1" workbookViewId="0">
      <selection activeCell="C6" sqref="C6"/>
    </sheetView>
  </sheetViews>
  <sheetFormatPr defaultRowHeight="14.4" x14ac:dyDescent="0.3"/>
  <cols>
    <col min="1" max="1" width="5" customWidth="1"/>
    <col min="2" max="2" width="28" customWidth="1"/>
    <col min="3" max="3" width="48" customWidth="1"/>
    <col min="4" max="4" width="8" customWidth="1"/>
    <col min="5" max="5" width="14" customWidth="1"/>
    <col min="6" max="6" width="55" customWidth="1"/>
  </cols>
  <sheetData>
    <row r="1" spans="1:6" ht="28.05" customHeight="1" x14ac:dyDescent="0.3">
      <c r="A1" s="12" t="s">
        <v>163</v>
      </c>
      <c r="B1" s="10"/>
      <c r="C1" s="10"/>
      <c r="D1" s="10"/>
      <c r="E1" s="10"/>
      <c r="F1" s="11"/>
    </row>
    <row r="2" spans="1:6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3">
      <c r="A3" s="9" t="s">
        <v>7</v>
      </c>
      <c r="B3" s="10"/>
      <c r="C3" s="10"/>
      <c r="D3" s="10"/>
      <c r="E3" s="10"/>
      <c r="F3" s="11"/>
    </row>
    <row r="4" spans="1:6" x14ac:dyDescent="0.3">
      <c r="A4" s="2">
        <v>1</v>
      </c>
      <c r="B4" s="3" t="s">
        <v>8</v>
      </c>
      <c r="C4" s="3" t="s">
        <v>9</v>
      </c>
      <c r="D4" s="4" t="s">
        <v>10</v>
      </c>
      <c r="E4" s="5">
        <v>795.6</v>
      </c>
      <c r="F4" s="3" t="s">
        <v>164</v>
      </c>
    </row>
    <row r="5" spans="1:6" x14ac:dyDescent="0.3">
      <c r="A5" s="6">
        <v>2</v>
      </c>
      <c r="B5" s="7" t="s">
        <v>12</v>
      </c>
      <c r="C5" s="7" t="s">
        <v>13</v>
      </c>
      <c r="D5" s="4" t="s">
        <v>10</v>
      </c>
      <c r="E5" s="5">
        <v>88.32</v>
      </c>
      <c r="F5" s="7" t="s">
        <v>165</v>
      </c>
    </row>
    <row r="6" spans="1:6" ht="69" x14ac:dyDescent="0.3">
      <c r="A6" s="2">
        <v>3</v>
      </c>
      <c r="B6" s="3" t="s">
        <v>15</v>
      </c>
      <c r="C6" s="3" t="s">
        <v>16</v>
      </c>
      <c r="D6" s="4" t="s">
        <v>10</v>
      </c>
      <c r="E6" s="5">
        <v>14.657999999999999</v>
      </c>
      <c r="F6" s="3" t="s">
        <v>166</v>
      </c>
    </row>
    <row r="7" spans="1:6" ht="41.4" x14ac:dyDescent="0.3">
      <c r="A7" s="6">
        <v>4</v>
      </c>
      <c r="B7" s="7" t="s">
        <v>18</v>
      </c>
      <c r="C7" s="7" t="s">
        <v>19</v>
      </c>
      <c r="D7" s="4" t="s">
        <v>10</v>
      </c>
      <c r="E7" s="5">
        <v>16.25</v>
      </c>
      <c r="F7" s="7" t="s">
        <v>167</v>
      </c>
    </row>
    <row r="8" spans="1:6" ht="55.2" x14ac:dyDescent="0.3">
      <c r="A8" s="2">
        <v>5</v>
      </c>
      <c r="B8" s="3" t="s">
        <v>21</v>
      </c>
      <c r="C8" s="3" t="s">
        <v>22</v>
      </c>
      <c r="D8" s="4" t="s">
        <v>10</v>
      </c>
      <c r="E8" s="5">
        <v>53.295999999999999</v>
      </c>
      <c r="F8" s="3" t="s">
        <v>168</v>
      </c>
    </row>
    <row r="9" spans="1:6" ht="55.2" x14ac:dyDescent="0.3">
      <c r="A9" s="6">
        <v>6</v>
      </c>
      <c r="B9" s="7" t="s">
        <v>24</v>
      </c>
      <c r="C9" s="7" t="s">
        <v>25</v>
      </c>
      <c r="D9" s="4" t="s">
        <v>10</v>
      </c>
      <c r="E9" s="5">
        <v>8.9489999999999998</v>
      </c>
      <c r="F9" s="7" t="s">
        <v>169</v>
      </c>
    </row>
    <row r="10" spans="1:6" ht="27.6" x14ac:dyDescent="0.3">
      <c r="A10" s="2">
        <v>7</v>
      </c>
      <c r="B10" s="3" t="s">
        <v>27</v>
      </c>
      <c r="C10" s="3" t="s">
        <v>28</v>
      </c>
      <c r="D10" s="4" t="s">
        <v>10</v>
      </c>
      <c r="E10" s="5">
        <v>51.3</v>
      </c>
      <c r="F10" s="3" t="s">
        <v>170</v>
      </c>
    </row>
    <row r="11" spans="1:6" ht="41.4" x14ac:dyDescent="0.3">
      <c r="A11" s="6">
        <v>8</v>
      </c>
      <c r="B11" s="7" t="s">
        <v>30</v>
      </c>
      <c r="C11" s="7" t="s">
        <v>31</v>
      </c>
      <c r="D11" s="4" t="s">
        <v>32</v>
      </c>
      <c r="E11" s="5">
        <v>789.6</v>
      </c>
      <c r="F11" s="7" t="s">
        <v>171</v>
      </c>
    </row>
    <row r="12" spans="1:6" ht="41.4" x14ac:dyDescent="0.3">
      <c r="A12" s="2">
        <v>9</v>
      </c>
      <c r="B12" s="3" t="s">
        <v>34</v>
      </c>
      <c r="C12" s="3" t="s">
        <v>35</v>
      </c>
      <c r="D12" s="4" t="s">
        <v>32</v>
      </c>
      <c r="E12" s="5">
        <v>178.08</v>
      </c>
      <c r="F12" s="3" t="s">
        <v>172</v>
      </c>
    </row>
    <row r="13" spans="1:6" x14ac:dyDescent="0.3">
      <c r="A13" s="6">
        <v>10</v>
      </c>
      <c r="B13" s="7" t="s">
        <v>37</v>
      </c>
      <c r="C13" s="7" t="s">
        <v>38</v>
      </c>
      <c r="D13" s="4" t="s">
        <v>10</v>
      </c>
      <c r="E13" s="5">
        <v>44.16</v>
      </c>
      <c r="F13" s="7" t="s">
        <v>173</v>
      </c>
    </row>
    <row r="14" spans="1:6" ht="27.6" x14ac:dyDescent="0.3">
      <c r="A14" s="2">
        <v>11</v>
      </c>
      <c r="B14" s="3" t="s">
        <v>40</v>
      </c>
      <c r="C14" s="3" t="s">
        <v>41</v>
      </c>
      <c r="D14" s="4" t="s">
        <v>32</v>
      </c>
      <c r="E14" s="5">
        <v>750.68</v>
      </c>
      <c r="F14" s="3" t="s">
        <v>174</v>
      </c>
    </row>
    <row r="15" spans="1:6" x14ac:dyDescent="0.3">
      <c r="A15" s="6">
        <v>12</v>
      </c>
      <c r="B15" s="7" t="s">
        <v>43</v>
      </c>
      <c r="C15" s="7" t="s">
        <v>44</v>
      </c>
      <c r="D15" s="4" t="s">
        <v>32</v>
      </c>
      <c r="E15" s="5">
        <v>863.28200000000004</v>
      </c>
      <c r="F15" s="7" t="s">
        <v>175</v>
      </c>
    </row>
    <row r="16" spans="1:6" ht="69" x14ac:dyDescent="0.3">
      <c r="A16" s="2">
        <v>13</v>
      </c>
      <c r="B16" s="3" t="s">
        <v>46</v>
      </c>
      <c r="C16" s="3" t="s">
        <v>47</v>
      </c>
      <c r="D16" s="4" t="s">
        <v>10</v>
      </c>
      <c r="E16" s="5">
        <v>483.05099999999999</v>
      </c>
      <c r="F16" s="3" t="s">
        <v>176</v>
      </c>
    </row>
    <row r="17" spans="1:6" x14ac:dyDescent="0.3">
      <c r="A17" s="8"/>
      <c r="B17" s="8"/>
      <c r="C17" s="8"/>
      <c r="D17" s="8"/>
      <c r="E17" s="8"/>
      <c r="F17" s="8"/>
    </row>
    <row r="18" spans="1:6" x14ac:dyDescent="0.3">
      <c r="A18" s="9" t="s">
        <v>49</v>
      </c>
      <c r="B18" s="10"/>
      <c r="C18" s="10"/>
      <c r="D18" s="10"/>
      <c r="E18" s="10"/>
      <c r="F18" s="11"/>
    </row>
    <row r="19" spans="1:6" x14ac:dyDescent="0.3">
      <c r="A19" s="6">
        <v>14</v>
      </c>
      <c r="B19" s="7" t="s">
        <v>50</v>
      </c>
      <c r="C19" s="7" t="s">
        <v>51</v>
      </c>
      <c r="D19" s="4"/>
      <c r="E19" s="5" t="s">
        <v>177</v>
      </c>
      <c r="F19" s="7"/>
    </row>
    <row r="20" spans="1:6" x14ac:dyDescent="0.3">
      <c r="A20" s="2">
        <v>15</v>
      </c>
      <c r="B20" s="3" t="s">
        <v>53</v>
      </c>
      <c r="C20" s="3" t="s">
        <v>54</v>
      </c>
      <c r="D20" s="4"/>
      <c r="E20" s="5" t="s">
        <v>177</v>
      </c>
      <c r="F20" s="3"/>
    </row>
    <row r="21" spans="1:6" x14ac:dyDescent="0.3">
      <c r="A21" s="6">
        <v>16</v>
      </c>
      <c r="B21" s="7" t="s">
        <v>56</v>
      </c>
      <c r="C21" s="7" t="s">
        <v>57</v>
      </c>
      <c r="D21" s="4"/>
      <c r="E21" s="5" t="s">
        <v>177</v>
      </c>
      <c r="F21" s="7"/>
    </row>
    <row r="22" spans="1:6" x14ac:dyDescent="0.3">
      <c r="A22" s="2">
        <v>17</v>
      </c>
      <c r="B22" s="3" t="s">
        <v>59</v>
      </c>
      <c r="C22" s="3" t="s">
        <v>60</v>
      </c>
      <c r="D22" s="4"/>
      <c r="E22" s="5" t="s">
        <v>177</v>
      </c>
      <c r="F22" s="3"/>
    </row>
    <row r="23" spans="1:6" x14ac:dyDescent="0.3">
      <c r="A23" s="6">
        <v>18</v>
      </c>
      <c r="B23" s="7" t="s">
        <v>62</v>
      </c>
      <c r="C23" s="7" t="s">
        <v>63</v>
      </c>
      <c r="D23" s="4"/>
      <c r="E23" s="5" t="s">
        <v>177</v>
      </c>
      <c r="F23" s="7"/>
    </row>
    <row r="24" spans="1:6" x14ac:dyDescent="0.3">
      <c r="A24" s="2">
        <v>19</v>
      </c>
      <c r="B24" s="3" t="s">
        <v>64</v>
      </c>
      <c r="C24" s="3" t="s">
        <v>65</v>
      </c>
      <c r="D24" s="4"/>
      <c r="E24" s="5" t="s">
        <v>177</v>
      </c>
      <c r="F24" s="3"/>
    </row>
    <row r="25" spans="1:6" x14ac:dyDescent="0.3">
      <c r="A25" s="6">
        <v>20</v>
      </c>
      <c r="B25" s="7" t="s">
        <v>66</v>
      </c>
      <c r="C25" s="7" t="s">
        <v>67</v>
      </c>
      <c r="D25" s="4"/>
      <c r="E25" s="5" t="s">
        <v>177</v>
      </c>
      <c r="F25" s="7"/>
    </row>
    <row r="26" spans="1:6" x14ac:dyDescent="0.3">
      <c r="A26" s="2">
        <v>21</v>
      </c>
      <c r="B26" s="3" t="s">
        <v>69</v>
      </c>
      <c r="C26" s="3" t="s">
        <v>70</v>
      </c>
      <c r="D26" s="4"/>
      <c r="E26" s="5" t="s">
        <v>177</v>
      </c>
      <c r="F26" s="3"/>
    </row>
    <row r="27" spans="1:6" x14ac:dyDescent="0.3">
      <c r="A27" s="8"/>
      <c r="B27" s="8"/>
      <c r="C27" s="8"/>
      <c r="D27" s="8"/>
      <c r="E27" s="8"/>
      <c r="F27" s="8"/>
    </row>
    <row r="28" spans="1:6" x14ac:dyDescent="0.3">
      <c r="A28" s="9" t="s">
        <v>72</v>
      </c>
      <c r="B28" s="10"/>
      <c r="C28" s="10"/>
      <c r="D28" s="10"/>
      <c r="E28" s="10"/>
      <c r="F28" s="11"/>
    </row>
    <row r="29" spans="1:6" x14ac:dyDescent="0.3">
      <c r="A29" s="6">
        <v>22</v>
      </c>
      <c r="B29" s="7" t="s">
        <v>73</v>
      </c>
      <c r="C29" s="7" t="s">
        <v>74</v>
      </c>
      <c r="D29" s="4" t="s">
        <v>32</v>
      </c>
      <c r="E29" s="5">
        <v>200.57</v>
      </c>
      <c r="F29" s="7" t="s">
        <v>178</v>
      </c>
    </row>
    <row r="30" spans="1:6" x14ac:dyDescent="0.3">
      <c r="A30" s="2">
        <v>23</v>
      </c>
      <c r="B30" s="3" t="s">
        <v>76</v>
      </c>
      <c r="C30" s="3" t="s">
        <v>77</v>
      </c>
      <c r="D30" s="4" t="s">
        <v>32</v>
      </c>
      <c r="E30" s="5">
        <v>174.64</v>
      </c>
      <c r="F30" s="3" t="s">
        <v>179</v>
      </c>
    </row>
    <row r="31" spans="1:6" x14ac:dyDescent="0.3">
      <c r="A31" s="6">
        <v>24</v>
      </c>
      <c r="B31" s="7" t="s">
        <v>79</v>
      </c>
      <c r="C31" s="7" t="s">
        <v>80</v>
      </c>
      <c r="D31" s="4" t="s">
        <v>32</v>
      </c>
      <c r="E31" s="5">
        <v>92.56</v>
      </c>
      <c r="F31" s="7" t="s">
        <v>180</v>
      </c>
    </row>
    <row r="32" spans="1:6" ht="27.6" x14ac:dyDescent="0.3">
      <c r="A32" s="2">
        <v>25</v>
      </c>
      <c r="B32" s="3" t="s">
        <v>82</v>
      </c>
      <c r="C32" s="3" t="s">
        <v>83</v>
      </c>
      <c r="D32" s="4" t="s">
        <v>32</v>
      </c>
      <c r="E32" s="5">
        <v>725.01</v>
      </c>
      <c r="F32" s="3" t="s">
        <v>181</v>
      </c>
    </row>
    <row r="33" spans="1:6" x14ac:dyDescent="0.3">
      <c r="A33" s="6">
        <v>26</v>
      </c>
      <c r="B33" s="7" t="s">
        <v>85</v>
      </c>
      <c r="C33" s="7" t="s">
        <v>86</v>
      </c>
      <c r="D33" s="4" t="s">
        <v>32</v>
      </c>
      <c r="E33" s="5">
        <v>373.41</v>
      </c>
      <c r="F33" s="7" t="s">
        <v>182</v>
      </c>
    </row>
    <row r="34" spans="1:6" x14ac:dyDescent="0.3">
      <c r="A34" s="2">
        <v>27</v>
      </c>
      <c r="B34" s="3" t="s">
        <v>88</v>
      </c>
      <c r="C34" s="3" t="s">
        <v>89</v>
      </c>
      <c r="D34" s="4" t="s">
        <v>32</v>
      </c>
      <c r="E34" s="5">
        <v>36.58</v>
      </c>
      <c r="F34" s="3" t="s">
        <v>183</v>
      </c>
    </row>
    <row r="35" spans="1:6" x14ac:dyDescent="0.3">
      <c r="A35" s="6">
        <v>28</v>
      </c>
      <c r="B35" s="7" t="s">
        <v>91</v>
      </c>
      <c r="C35" s="7" t="s">
        <v>92</v>
      </c>
      <c r="D35" s="4" t="s">
        <v>93</v>
      </c>
      <c r="E35" s="5">
        <v>113.55</v>
      </c>
      <c r="F35" s="7" t="s">
        <v>184</v>
      </c>
    </row>
    <row r="36" spans="1:6" x14ac:dyDescent="0.3">
      <c r="A36" s="2">
        <v>29</v>
      </c>
      <c r="B36" s="3" t="s">
        <v>95</v>
      </c>
      <c r="C36" s="3" t="s">
        <v>96</v>
      </c>
      <c r="D36" s="4" t="s">
        <v>32</v>
      </c>
      <c r="E36" s="5">
        <v>363.36</v>
      </c>
      <c r="F36" s="3" t="s">
        <v>185</v>
      </c>
    </row>
    <row r="37" spans="1:6" x14ac:dyDescent="0.3">
      <c r="A37" s="6">
        <v>30</v>
      </c>
      <c r="B37" s="7" t="s">
        <v>98</v>
      </c>
      <c r="C37" s="7" t="s">
        <v>99</v>
      </c>
      <c r="D37" s="4" t="s">
        <v>32</v>
      </c>
      <c r="E37" s="5">
        <v>373.41</v>
      </c>
      <c r="F37" s="7" t="e">
        <f>flooring_dry_gf</f>
        <v>#NAME?</v>
      </c>
    </row>
    <row r="38" spans="1:6" x14ac:dyDescent="0.3">
      <c r="A38" s="2">
        <v>31</v>
      </c>
      <c r="B38" s="3" t="s">
        <v>100</v>
      </c>
      <c r="C38" s="3" t="s">
        <v>101</v>
      </c>
      <c r="D38" s="4" t="s">
        <v>32</v>
      </c>
      <c r="E38" s="5">
        <v>36.58</v>
      </c>
      <c r="F38" s="3" t="e">
        <f>flooring_wet_gf</f>
        <v>#NAME?</v>
      </c>
    </row>
    <row r="39" spans="1:6" x14ac:dyDescent="0.3">
      <c r="A39" s="6">
        <v>32</v>
      </c>
      <c r="B39" s="7" t="s">
        <v>102</v>
      </c>
      <c r="C39" s="7" t="s">
        <v>103</v>
      </c>
      <c r="D39" s="4" t="s">
        <v>32</v>
      </c>
      <c r="E39" s="5">
        <v>150.66</v>
      </c>
      <c r="F39" s="7" t="s">
        <v>186</v>
      </c>
    </row>
    <row r="40" spans="1:6" x14ac:dyDescent="0.3">
      <c r="A40" s="8"/>
      <c r="B40" s="8"/>
      <c r="C40" s="8"/>
      <c r="D40" s="8"/>
      <c r="E40" s="8"/>
      <c r="F40" s="8"/>
    </row>
    <row r="41" spans="1:6" x14ac:dyDescent="0.3">
      <c r="A41" s="9" t="s">
        <v>105</v>
      </c>
      <c r="B41" s="10"/>
      <c r="C41" s="10"/>
      <c r="D41" s="10"/>
      <c r="E41" s="10"/>
      <c r="F41" s="11"/>
    </row>
    <row r="42" spans="1:6" x14ac:dyDescent="0.3">
      <c r="A42" s="2">
        <v>33</v>
      </c>
      <c r="B42" s="3" t="s">
        <v>106</v>
      </c>
      <c r="C42" s="3" t="s">
        <v>107</v>
      </c>
      <c r="D42" s="4" t="s">
        <v>32</v>
      </c>
      <c r="E42" s="5">
        <v>228.23</v>
      </c>
      <c r="F42" s="3" t="s">
        <v>187</v>
      </c>
    </row>
    <row r="43" spans="1:6" x14ac:dyDescent="0.3">
      <c r="A43" s="6">
        <v>34</v>
      </c>
      <c r="B43" s="7" t="s">
        <v>109</v>
      </c>
      <c r="C43" s="7" t="s">
        <v>110</v>
      </c>
      <c r="D43" s="4" t="s">
        <v>32</v>
      </c>
      <c r="E43" s="5">
        <v>122.18</v>
      </c>
      <c r="F43" s="7" t="s">
        <v>188</v>
      </c>
    </row>
    <row r="44" spans="1:6" x14ac:dyDescent="0.3">
      <c r="A44" s="2">
        <v>35</v>
      </c>
      <c r="B44" s="3" t="s">
        <v>112</v>
      </c>
      <c r="C44" s="3" t="s">
        <v>113</v>
      </c>
      <c r="D44" s="4" t="s">
        <v>32</v>
      </c>
      <c r="E44" s="5">
        <v>45.06</v>
      </c>
      <c r="F44" s="3" t="s">
        <v>189</v>
      </c>
    </row>
    <row r="45" spans="1:6" ht="27.6" x14ac:dyDescent="0.3">
      <c r="A45" s="6">
        <v>36</v>
      </c>
      <c r="B45" s="7" t="s">
        <v>115</v>
      </c>
      <c r="C45" s="7" t="s">
        <v>116</v>
      </c>
      <c r="D45" s="4" t="s">
        <v>32</v>
      </c>
      <c r="E45" s="5">
        <v>560.23</v>
      </c>
      <c r="F45" s="7" t="s">
        <v>190</v>
      </c>
    </row>
    <row r="46" spans="1:6" x14ac:dyDescent="0.3">
      <c r="A46" s="2">
        <v>37</v>
      </c>
      <c r="B46" s="3" t="s">
        <v>118</v>
      </c>
      <c r="C46" s="3" t="s">
        <v>119</v>
      </c>
      <c r="D46" s="4" t="s">
        <v>32</v>
      </c>
      <c r="E46" s="5">
        <v>366.64</v>
      </c>
      <c r="F46" s="3" t="s">
        <v>191</v>
      </c>
    </row>
    <row r="47" spans="1:6" x14ac:dyDescent="0.3">
      <c r="A47" s="6">
        <v>38</v>
      </c>
      <c r="B47" s="7" t="s">
        <v>121</v>
      </c>
      <c r="C47" s="7" t="s">
        <v>122</v>
      </c>
      <c r="D47" s="4" t="s">
        <v>32</v>
      </c>
      <c r="E47" s="5">
        <v>18.149999999999999</v>
      </c>
      <c r="F47" s="7" t="s">
        <v>192</v>
      </c>
    </row>
    <row r="48" spans="1:6" x14ac:dyDescent="0.3">
      <c r="A48" s="2">
        <v>39</v>
      </c>
      <c r="B48" s="3" t="s">
        <v>124</v>
      </c>
      <c r="C48" s="3" t="s">
        <v>125</v>
      </c>
      <c r="D48" s="4" t="s">
        <v>93</v>
      </c>
      <c r="E48" s="5">
        <v>105.28</v>
      </c>
      <c r="F48" s="3" t="s">
        <v>193</v>
      </c>
    </row>
    <row r="49" spans="1:6" x14ac:dyDescent="0.3">
      <c r="A49" s="6">
        <v>40</v>
      </c>
      <c r="B49" s="7" t="s">
        <v>127</v>
      </c>
      <c r="C49" s="7" t="s">
        <v>128</v>
      </c>
      <c r="D49" s="4" t="s">
        <v>32</v>
      </c>
      <c r="E49" s="5">
        <v>336.9</v>
      </c>
      <c r="F49" s="7" t="s">
        <v>194</v>
      </c>
    </row>
    <row r="50" spans="1:6" x14ac:dyDescent="0.3">
      <c r="A50" s="2">
        <v>41</v>
      </c>
      <c r="B50" s="3" t="s">
        <v>130</v>
      </c>
      <c r="C50" s="3" t="s">
        <v>131</v>
      </c>
      <c r="D50" s="4" t="s">
        <v>32</v>
      </c>
      <c r="E50" s="5">
        <v>366.64</v>
      </c>
      <c r="F50" s="3" t="e">
        <f>flooring_dry_ff</f>
        <v>#NAME?</v>
      </c>
    </row>
    <row r="51" spans="1:6" x14ac:dyDescent="0.3">
      <c r="A51" s="6">
        <v>42</v>
      </c>
      <c r="B51" s="7" t="s">
        <v>132</v>
      </c>
      <c r="C51" s="7" t="s">
        <v>133</v>
      </c>
      <c r="D51" s="4" t="s">
        <v>32</v>
      </c>
      <c r="E51" s="5">
        <v>18.149999999999999</v>
      </c>
      <c r="F51" s="7" t="e">
        <f>flooring_wet_ff</f>
        <v>#NAME?</v>
      </c>
    </row>
    <row r="52" spans="1:6" x14ac:dyDescent="0.3">
      <c r="A52" s="2">
        <v>43</v>
      </c>
      <c r="B52" s="3" t="s">
        <v>134</v>
      </c>
      <c r="C52" s="3" t="s">
        <v>135</v>
      </c>
      <c r="D52" s="4" t="s">
        <v>32</v>
      </c>
      <c r="E52" s="5">
        <v>80.19</v>
      </c>
      <c r="F52" s="3" t="s">
        <v>195</v>
      </c>
    </row>
    <row r="53" spans="1:6" x14ac:dyDescent="0.3">
      <c r="A53" s="8"/>
      <c r="B53" s="8"/>
      <c r="C53" s="8"/>
      <c r="D53" s="8"/>
      <c r="E53" s="8"/>
      <c r="F53" s="8"/>
    </row>
    <row r="54" spans="1:6" x14ac:dyDescent="0.3">
      <c r="A54" s="9" t="s">
        <v>137</v>
      </c>
      <c r="B54" s="10"/>
      <c r="C54" s="10"/>
      <c r="D54" s="10"/>
      <c r="E54" s="10"/>
      <c r="F54" s="11"/>
    </row>
    <row r="55" spans="1:6" x14ac:dyDescent="0.3">
      <c r="A55" s="6">
        <v>44</v>
      </c>
      <c r="B55" s="7" t="s">
        <v>138</v>
      </c>
      <c r="C55" s="7" t="s">
        <v>139</v>
      </c>
      <c r="D55" s="4" t="s">
        <v>32</v>
      </c>
      <c r="E55" s="5">
        <v>649.97</v>
      </c>
      <c r="F55" s="7" t="s">
        <v>196</v>
      </c>
    </row>
    <row r="56" spans="1:6" x14ac:dyDescent="0.3">
      <c r="A56" s="2">
        <v>45</v>
      </c>
      <c r="B56" s="3" t="s">
        <v>141</v>
      </c>
      <c r="C56" s="3" t="s">
        <v>142</v>
      </c>
      <c r="D56" s="4" t="s">
        <v>143</v>
      </c>
      <c r="E56" s="5">
        <v>18.8</v>
      </c>
      <c r="F56" s="3" t="s">
        <v>197</v>
      </c>
    </row>
    <row r="57" spans="1:6" x14ac:dyDescent="0.3">
      <c r="A57" s="6">
        <v>46</v>
      </c>
      <c r="B57" s="7" t="s">
        <v>145</v>
      </c>
      <c r="C57" s="7" t="s">
        <v>146</v>
      </c>
      <c r="D57" s="4" t="s">
        <v>32</v>
      </c>
      <c r="E57" s="5">
        <v>25.2</v>
      </c>
      <c r="F57" s="7" t="s">
        <v>198</v>
      </c>
    </row>
    <row r="58" spans="1:6" x14ac:dyDescent="0.3">
      <c r="A58" s="2">
        <v>47</v>
      </c>
      <c r="B58" s="3" t="s">
        <v>148</v>
      </c>
      <c r="C58" s="3" t="s">
        <v>149</v>
      </c>
      <c r="D58" s="4" t="s">
        <v>32</v>
      </c>
      <c r="E58" s="5">
        <v>25.2</v>
      </c>
      <c r="F58" s="3" t="e">
        <f>balcony_flooring</f>
        <v>#NAME?</v>
      </c>
    </row>
    <row r="59" spans="1:6" x14ac:dyDescent="0.3">
      <c r="A59" s="6">
        <v>48</v>
      </c>
      <c r="B59" s="7" t="s">
        <v>150</v>
      </c>
      <c r="C59" s="7" t="s">
        <v>151</v>
      </c>
      <c r="D59" s="4" t="s">
        <v>32</v>
      </c>
      <c r="E59" s="5">
        <v>18.149999999999999</v>
      </c>
      <c r="F59" s="7" t="s">
        <v>199</v>
      </c>
    </row>
    <row r="60" spans="1:6" x14ac:dyDescent="0.3">
      <c r="A60" s="2">
        <v>49</v>
      </c>
      <c r="B60" s="3" t="s">
        <v>153</v>
      </c>
      <c r="C60" s="3" t="s">
        <v>154</v>
      </c>
      <c r="D60" s="4" t="s">
        <v>32</v>
      </c>
      <c r="E60" s="5">
        <v>192</v>
      </c>
      <c r="F60" s="3" t="s">
        <v>200</v>
      </c>
    </row>
    <row r="61" spans="1:6" x14ac:dyDescent="0.3">
      <c r="A61" s="6">
        <v>50</v>
      </c>
      <c r="B61" s="7" t="s">
        <v>156</v>
      </c>
      <c r="C61" s="7" t="s">
        <v>157</v>
      </c>
      <c r="D61" s="4" t="s">
        <v>158</v>
      </c>
      <c r="E61" s="5">
        <v>17</v>
      </c>
      <c r="F61" s="7" t="s">
        <v>201</v>
      </c>
    </row>
    <row r="62" spans="1:6" x14ac:dyDescent="0.3">
      <c r="A62" s="2">
        <v>51</v>
      </c>
      <c r="B62" s="3" t="s">
        <v>160</v>
      </c>
      <c r="C62" s="3" t="s">
        <v>161</v>
      </c>
      <c r="D62" s="4" t="s">
        <v>32</v>
      </c>
      <c r="E62" s="5">
        <v>91.98</v>
      </c>
      <c r="F62" s="3" t="s">
        <v>202</v>
      </c>
    </row>
    <row r="63" spans="1:6" x14ac:dyDescent="0.3">
      <c r="A63" s="8"/>
      <c r="B63" s="8"/>
      <c r="C63" s="8"/>
      <c r="D63" s="8"/>
      <c r="E63" s="8"/>
      <c r="F63" s="8"/>
    </row>
  </sheetData>
  <mergeCells count="6">
    <mergeCell ref="A41:F41"/>
    <mergeCell ref="A54:F54"/>
    <mergeCell ref="A28:F28"/>
    <mergeCell ref="A1:F1"/>
    <mergeCell ref="A18:F18"/>
    <mergeCell ref="A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3"/>
  <sheetViews>
    <sheetView workbookViewId="0"/>
  </sheetViews>
  <sheetFormatPr defaultRowHeight="14.4" x14ac:dyDescent="0.3"/>
  <cols>
    <col min="1" max="1" width="5" customWidth="1"/>
    <col min="2" max="2" width="28" customWidth="1"/>
    <col min="3" max="3" width="48" customWidth="1"/>
    <col min="4" max="4" width="8" customWidth="1"/>
    <col min="5" max="6" width="14" customWidth="1"/>
  </cols>
  <sheetData>
    <row r="1" spans="1:6" ht="28.05" customHeight="1" x14ac:dyDescent="0.3">
      <c r="A1" s="14" t="s">
        <v>203</v>
      </c>
      <c r="B1" s="14"/>
      <c r="C1" s="14"/>
      <c r="D1" s="14"/>
      <c r="E1" s="14"/>
      <c r="F1" s="14"/>
    </row>
    <row r="2" spans="1:6" ht="22.0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204</v>
      </c>
      <c r="F2" s="1" t="s">
        <v>205</v>
      </c>
    </row>
    <row r="3" spans="1:6" ht="19.95" customHeight="1" x14ac:dyDescent="0.3">
      <c r="A3" s="9" t="s">
        <v>7</v>
      </c>
      <c r="B3" s="13"/>
      <c r="C3" s="13"/>
      <c r="D3" s="13"/>
      <c r="E3" s="13"/>
      <c r="F3" s="13"/>
    </row>
    <row r="4" spans="1:6" ht="18" customHeight="1" x14ac:dyDescent="0.3">
      <c r="A4" s="2">
        <v>1</v>
      </c>
      <c r="B4" s="3" t="s">
        <v>8</v>
      </c>
      <c r="C4" s="3" t="s">
        <v>9</v>
      </c>
      <c r="D4" s="4" t="s">
        <v>10</v>
      </c>
      <c r="E4" s="5">
        <v>609.98800000000006</v>
      </c>
      <c r="F4" s="5">
        <v>795.6</v>
      </c>
    </row>
    <row r="5" spans="1:6" ht="18" customHeight="1" x14ac:dyDescent="0.3">
      <c r="A5" s="6">
        <v>2</v>
      </c>
      <c r="B5" s="7" t="s">
        <v>12</v>
      </c>
      <c r="C5" s="7" t="s">
        <v>13</v>
      </c>
      <c r="D5" s="4" t="s">
        <v>10</v>
      </c>
      <c r="E5" s="5">
        <v>55.353999999999999</v>
      </c>
      <c r="F5" s="5">
        <v>88.32</v>
      </c>
    </row>
    <row r="6" spans="1:6" ht="18" customHeight="1" x14ac:dyDescent="0.3">
      <c r="A6" s="2">
        <v>3</v>
      </c>
      <c r="B6" s="3" t="s">
        <v>15</v>
      </c>
      <c r="C6" s="3" t="s">
        <v>16</v>
      </c>
      <c r="D6" s="4" t="s">
        <v>10</v>
      </c>
      <c r="E6" s="5">
        <v>24.77</v>
      </c>
      <c r="F6" s="5">
        <v>14.657999999999999</v>
      </c>
    </row>
    <row r="7" spans="1:6" ht="18" customHeight="1" x14ac:dyDescent="0.3">
      <c r="A7" s="6">
        <v>4</v>
      </c>
      <c r="B7" s="7" t="s">
        <v>18</v>
      </c>
      <c r="C7" s="7" t="s">
        <v>19</v>
      </c>
      <c r="D7" s="4" t="s">
        <v>10</v>
      </c>
      <c r="E7" s="5">
        <v>8.6270000000000007</v>
      </c>
      <c r="F7" s="5">
        <v>16.25</v>
      </c>
    </row>
    <row r="8" spans="1:6" ht="18" customHeight="1" x14ac:dyDescent="0.3">
      <c r="A8" s="2">
        <v>5</v>
      </c>
      <c r="B8" s="3" t="s">
        <v>21</v>
      </c>
      <c r="C8" s="3" t="s">
        <v>22</v>
      </c>
      <c r="D8" s="4" t="s">
        <v>10</v>
      </c>
      <c r="E8" s="5">
        <v>115.008</v>
      </c>
      <c r="F8" s="5">
        <v>53.295999999999999</v>
      </c>
    </row>
    <row r="9" spans="1:6" ht="18" customHeight="1" x14ac:dyDescent="0.3">
      <c r="A9" s="6">
        <v>6</v>
      </c>
      <c r="B9" s="7" t="s">
        <v>24</v>
      </c>
      <c r="C9" s="7" t="s">
        <v>25</v>
      </c>
      <c r="D9" s="4" t="s">
        <v>10</v>
      </c>
      <c r="E9" s="5">
        <v>6.4489999999999998</v>
      </c>
      <c r="F9" s="5">
        <v>8.9489999999999998</v>
      </c>
    </row>
    <row r="10" spans="1:6" ht="18" customHeight="1" x14ac:dyDescent="0.3">
      <c r="A10" s="2">
        <v>7</v>
      </c>
      <c r="B10" s="3" t="s">
        <v>27</v>
      </c>
      <c r="C10" s="3" t="s">
        <v>28</v>
      </c>
      <c r="D10" s="4" t="s">
        <v>10</v>
      </c>
      <c r="E10" s="5">
        <v>21.887</v>
      </c>
      <c r="F10" s="5">
        <v>51.3</v>
      </c>
    </row>
    <row r="11" spans="1:6" ht="18" customHeight="1" x14ac:dyDescent="0.3">
      <c r="A11" s="6">
        <v>8</v>
      </c>
      <c r="B11" s="7" t="s">
        <v>30</v>
      </c>
      <c r="C11" s="7" t="s">
        <v>31</v>
      </c>
      <c r="D11" s="4" t="s">
        <v>32</v>
      </c>
      <c r="E11" s="5">
        <v>655.4</v>
      </c>
      <c r="F11" s="5">
        <v>789.6</v>
      </c>
    </row>
    <row r="12" spans="1:6" ht="18" customHeight="1" x14ac:dyDescent="0.3">
      <c r="A12" s="2">
        <v>9</v>
      </c>
      <c r="B12" s="3" t="s">
        <v>34</v>
      </c>
      <c r="C12" s="3" t="s">
        <v>35</v>
      </c>
      <c r="D12" s="4" t="s">
        <v>32</v>
      </c>
      <c r="E12" s="5">
        <v>63.878</v>
      </c>
      <c r="F12" s="5">
        <v>178.08</v>
      </c>
    </row>
    <row r="13" spans="1:6" ht="18" customHeight="1" x14ac:dyDescent="0.3">
      <c r="A13" s="6">
        <v>10</v>
      </c>
      <c r="B13" s="7" t="s">
        <v>37</v>
      </c>
      <c r="C13" s="7" t="s">
        <v>38</v>
      </c>
      <c r="D13" s="4" t="s">
        <v>10</v>
      </c>
      <c r="E13" s="5">
        <v>27.677</v>
      </c>
      <c r="F13" s="5">
        <v>44.16</v>
      </c>
    </row>
    <row r="14" spans="1:6" ht="18" customHeight="1" x14ac:dyDescent="0.3">
      <c r="A14" s="2">
        <v>11</v>
      </c>
      <c r="B14" s="3" t="s">
        <v>40</v>
      </c>
      <c r="C14" s="3" t="s">
        <v>41</v>
      </c>
      <c r="D14" s="4" t="s">
        <v>32</v>
      </c>
      <c r="E14" s="5">
        <v>610.73400000000004</v>
      </c>
      <c r="F14" s="5">
        <v>750.68</v>
      </c>
    </row>
    <row r="15" spans="1:6" ht="18" customHeight="1" x14ac:dyDescent="0.3">
      <c r="A15" s="6">
        <v>12</v>
      </c>
      <c r="B15" s="7" t="s">
        <v>43</v>
      </c>
      <c r="C15" s="7" t="s">
        <v>44</v>
      </c>
      <c r="D15" s="4" t="s">
        <v>32</v>
      </c>
      <c r="E15" s="5">
        <v>702.34400000000005</v>
      </c>
      <c r="F15" s="5">
        <v>863.28200000000004</v>
      </c>
    </row>
    <row r="16" spans="1:6" ht="18" customHeight="1" x14ac:dyDescent="0.3">
      <c r="A16" s="2">
        <v>13</v>
      </c>
      <c r="B16" s="3" t="s">
        <v>46</v>
      </c>
      <c r="C16" s="3" t="s">
        <v>47</v>
      </c>
      <c r="D16" s="4" t="s">
        <v>10</v>
      </c>
      <c r="E16" s="5">
        <v>337.44099999999997</v>
      </c>
      <c r="F16" s="5">
        <v>483.05099999999999</v>
      </c>
    </row>
    <row r="17" spans="1:6" x14ac:dyDescent="0.3">
      <c r="A17" s="8"/>
      <c r="B17" s="8"/>
      <c r="C17" s="8"/>
      <c r="D17" s="8"/>
      <c r="E17" s="8"/>
      <c r="F17" s="8"/>
    </row>
    <row r="18" spans="1:6" ht="19.95" customHeight="1" x14ac:dyDescent="0.3">
      <c r="A18" s="9" t="s">
        <v>49</v>
      </c>
      <c r="B18" s="13"/>
      <c r="C18" s="13"/>
      <c r="D18" s="13"/>
      <c r="E18" s="13"/>
      <c r="F18" s="13"/>
    </row>
    <row r="19" spans="1:6" ht="18" customHeight="1" x14ac:dyDescent="0.3">
      <c r="A19" s="6">
        <v>14</v>
      </c>
      <c r="B19" s="7" t="s">
        <v>50</v>
      </c>
      <c r="C19" s="7" t="s">
        <v>51</v>
      </c>
      <c r="D19" s="4" t="s">
        <v>10</v>
      </c>
      <c r="E19" s="5">
        <v>8.5850000000000009</v>
      </c>
      <c r="F19" s="5" t="s">
        <v>177</v>
      </c>
    </row>
    <row r="20" spans="1:6" ht="18" customHeight="1" x14ac:dyDescent="0.3">
      <c r="A20" s="2">
        <v>15</v>
      </c>
      <c r="B20" s="3" t="s">
        <v>53</v>
      </c>
      <c r="C20" s="3" t="s">
        <v>54</v>
      </c>
      <c r="D20" s="4" t="s">
        <v>10</v>
      </c>
      <c r="E20" s="5">
        <v>11.164</v>
      </c>
      <c r="F20" s="5" t="s">
        <v>177</v>
      </c>
    </row>
    <row r="21" spans="1:6" ht="18" customHeight="1" x14ac:dyDescent="0.3">
      <c r="A21" s="6">
        <v>16</v>
      </c>
      <c r="B21" s="7" t="s">
        <v>56</v>
      </c>
      <c r="C21" s="7" t="s">
        <v>57</v>
      </c>
      <c r="D21" s="4" t="s">
        <v>10</v>
      </c>
      <c r="E21" s="5">
        <v>17.399999999999999</v>
      </c>
      <c r="F21" s="5" t="s">
        <v>177</v>
      </c>
    </row>
    <row r="22" spans="1:6" ht="18" customHeight="1" x14ac:dyDescent="0.3">
      <c r="A22" s="2">
        <v>17</v>
      </c>
      <c r="B22" s="3" t="s">
        <v>59</v>
      </c>
      <c r="C22" s="3" t="s">
        <v>60</v>
      </c>
      <c r="D22" s="4" t="s">
        <v>10</v>
      </c>
      <c r="E22" s="5">
        <v>57.37</v>
      </c>
      <c r="F22" s="5" t="s">
        <v>177</v>
      </c>
    </row>
    <row r="23" spans="1:6" ht="18" customHeight="1" x14ac:dyDescent="0.3">
      <c r="A23" s="6">
        <v>18</v>
      </c>
      <c r="B23" s="7" t="s">
        <v>62</v>
      </c>
      <c r="C23" s="7" t="s">
        <v>63</v>
      </c>
      <c r="D23" s="4" t="s">
        <v>10</v>
      </c>
      <c r="E23" s="5">
        <v>17.399999999999999</v>
      </c>
      <c r="F23" s="5" t="s">
        <v>177</v>
      </c>
    </row>
    <row r="24" spans="1:6" ht="18" customHeight="1" x14ac:dyDescent="0.3">
      <c r="A24" s="2">
        <v>19</v>
      </c>
      <c r="B24" s="3" t="s">
        <v>64</v>
      </c>
      <c r="C24" s="3" t="s">
        <v>65</v>
      </c>
      <c r="D24" s="4" t="s">
        <v>10</v>
      </c>
      <c r="E24" s="5">
        <v>57.37</v>
      </c>
      <c r="F24" s="5" t="s">
        <v>177</v>
      </c>
    </row>
    <row r="25" spans="1:6" ht="18" customHeight="1" x14ac:dyDescent="0.3">
      <c r="A25" s="6">
        <v>20</v>
      </c>
      <c r="B25" s="7" t="s">
        <v>66</v>
      </c>
      <c r="C25" s="7" t="s">
        <v>67</v>
      </c>
      <c r="D25" s="4" t="s">
        <v>10</v>
      </c>
      <c r="E25" s="5">
        <v>2.746</v>
      </c>
      <c r="F25" s="5" t="s">
        <v>177</v>
      </c>
    </row>
    <row r="26" spans="1:6" ht="18" customHeight="1" x14ac:dyDescent="0.3">
      <c r="A26" s="2">
        <v>21</v>
      </c>
      <c r="B26" s="3" t="s">
        <v>69</v>
      </c>
      <c r="C26" s="3" t="s">
        <v>70</v>
      </c>
      <c r="D26" s="4" t="s">
        <v>32</v>
      </c>
      <c r="E26" s="5">
        <v>91.28</v>
      </c>
      <c r="F26" s="5" t="s">
        <v>177</v>
      </c>
    </row>
    <row r="27" spans="1:6" x14ac:dyDescent="0.3">
      <c r="A27" s="8"/>
      <c r="B27" s="8"/>
      <c r="C27" s="8"/>
      <c r="D27" s="8"/>
      <c r="E27" s="8"/>
      <c r="F27" s="8"/>
    </row>
    <row r="28" spans="1:6" ht="19.95" customHeight="1" x14ac:dyDescent="0.3">
      <c r="A28" s="9" t="s">
        <v>72</v>
      </c>
      <c r="B28" s="13"/>
      <c r="C28" s="13"/>
      <c r="D28" s="13"/>
      <c r="E28" s="13"/>
      <c r="F28" s="13"/>
    </row>
    <row r="29" spans="1:6" ht="18" customHeight="1" x14ac:dyDescent="0.3">
      <c r="A29" s="6">
        <v>22</v>
      </c>
      <c r="B29" s="7" t="s">
        <v>73</v>
      </c>
      <c r="C29" s="7" t="s">
        <v>74</v>
      </c>
      <c r="D29" s="4" t="s">
        <v>32</v>
      </c>
      <c r="E29" s="5">
        <v>175.43700000000001</v>
      </c>
      <c r="F29" s="5">
        <v>200.57</v>
      </c>
    </row>
    <row r="30" spans="1:6" ht="18" customHeight="1" x14ac:dyDescent="0.3">
      <c r="A30" s="2">
        <v>23</v>
      </c>
      <c r="B30" s="3" t="s">
        <v>76</v>
      </c>
      <c r="C30" s="3" t="s">
        <v>77</v>
      </c>
      <c r="D30" s="4" t="s">
        <v>32</v>
      </c>
      <c r="E30" s="5">
        <v>400.57400000000001</v>
      </c>
      <c r="F30" s="5">
        <v>174.64</v>
      </c>
    </row>
    <row r="31" spans="1:6" ht="18" customHeight="1" x14ac:dyDescent="0.3">
      <c r="A31" s="6">
        <v>24</v>
      </c>
      <c r="B31" s="7" t="s">
        <v>79</v>
      </c>
      <c r="C31" s="7" t="s">
        <v>80</v>
      </c>
      <c r="D31" s="4" t="s">
        <v>32</v>
      </c>
      <c r="E31" s="5">
        <v>171.244</v>
      </c>
      <c r="F31" s="5">
        <v>92.56</v>
      </c>
    </row>
    <row r="32" spans="1:6" ht="18" customHeight="1" x14ac:dyDescent="0.3">
      <c r="A32" s="2">
        <v>25</v>
      </c>
      <c r="B32" s="3" t="s">
        <v>82</v>
      </c>
      <c r="C32" s="3" t="s">
        <v>83</v>
      </c>
      <c r="D32" s="4" t="s">
        <v>32</v>
      </c>
      <c r="E32" s="5">
        <v>1313.077</v>
      </c>
      <c r="F32" s="5">
        <v>725.01</v>
      </c>
    </row>
    <row r="33" spans="1:6" ht="18" customHeight="1" x14ac:dyDescent="0.3">
      <c r="A33" s="6">
        <v>26</v>
      </c>
      <c r="B33" s="7" t="s">
        <v>85</v>
      </c>
      <c r="C33" s="7" t="s">
        <v>86</v>
      </c>
      <c r="D33" s="4" t="s">
        <v>32</v>
      </c>
      <c r="E33" s="5">
        <v>147.25</v>
      </c>
      <c r="F33" s="5">
        <v>373.41</v>
      </c>
    </row>
    <row r="34" spans="1:6" ht="18" customHeight="1" x14ac:dyDescent="0.3">
      <c r="A34" s="2">
        <v>27</v>
      </c>
      <c r="B34" s="3" t="s">
        <v>88</v>
      </c>
      <c r="C34" s="3" t="s">
        <v>89</v>
      </c>
      <c r="D34" s="4" t="s">
        <v>32</v>
      </c>
      <c r="E34" s="5">
        <v>48.75</v>
      </c>
      <c r="F34" s="5">
        <v>36.58</v>
      </c>
    </row>
    <row r="35" spans="1:6" ht="18" customHeight="1" x14ac:dyDescent="0.3">
      <c r="A35" s="6">
        <v>28</v>
      </c>
      <c r="B35" s="7" t="s">
        <v>91</v>
      </c>
      <c r="C35" s="7" t="s">
        <v>92</v>
      </c>
      <c r="D35" s="4" t="s">
        <v>93</v>
      </c>
      <c r="E35" s="5">
        <v>184.52</v>
      </c>
      <c r="F35" s="5">
        <v>113.55</v>
      </c>
    </row>
    <row r="36" spans="1:6" ht="18" customHeight="1" x14ac:dyDescent="0.3">
      <c r="A36" s="2">
        <v>29</v>
      </c>
      <c r="B36" s="3" t="s">
        <v>95</v>
      </c>
      <c r="C36" s="3" t="s">
        <v>96</v>
      </c>
      <c r="D36" s="4" t="s">
        <v>32</v>
      </c>
      <c r="E36" s="5">
        <v>596.00400000000002</v>
      </c>
      <c r="F36" s="5">
        <v>363.36</v>
      </c>
    </row>
    <row r="37" spans="1:6" ht="18" customHeight="1" x14ac:dyDescent="0.3">
      <c r="A37" s="6">
        <v>30</v>
      </c>
      <c r="B37" s="7" t="s">
        <v>98</v>
      </c>
      <c r="C37" s="7" t="s">
        <v>99</v>
      </c>
      <c r="D37" s="4" t="s">
        <v>32</v>
      </c>
      <c r="E37" s="5">
        <v>147.25</v>
      </c>
      <c r="F37" s="5">
        <v>373.41</v>
      </c>
    </row>
    <row r="38" spans="1:6" ht="18" customHeight="1" x14ac:dyDescent="0.3">
      <c r="A38" s="2">
        <v>31</v>
      </c>
      <c r="B38" s="3" t="s">
        <v>100</v>
      </c>
      <c r="C38" s="3" t="s">
        <v>101</v>
      </c>
      <c r="D38" s="4" t="s">
        <v>32</v>
      </c>
      <c r="E38" s="5">
        <v>48.75</v>
      </c>
      <c r="F38" s="5">
        <v>36.58</v>
      </c>
    </row>
    <row r="39" spans="1:6" ht="18" customHeight="1" x14ac:dyDescent="0.3">
      <c r="A39" s="6">
        <v>32</v>
      </c>
      <c r="B39" s="7" t="s">
        <v>102</v>
      </c>
      <c r="C39" s="7" t="s">
        <v>103</v>
      </c>
      <c r="D39" s="4" t="s">
        <v>32</v>
      </c>
      <c r="E39" s="5">
        <v>174.72</v>
      </c>
      <c r="F39" s="5">
        <v>150.66</v>
      </c>
    </row>
    <row r="40" spans="1:6" x14ac:dyDescent="0.3">
      <c r="A40" s="8"/>
      <c r="B40" s="8"/>
      <c r="C40" s="8"/>
      <c r="D40" s="8"/>
      <c r="E40" s="8"/>
      <c r="F40" s="8"/>
    </row>
    <row r="41" spans="1:6" ht="19.95" customHeight="1" x14ac:dyDescent="0.3">
      <c r="A41" s="9" t="s">
        <v>105</v>
      </c>
      <c r="B41" s="13"/>
      <c r="C41" s="13"/>
      <c r="D41" s="13"/>
      <c r="E41" s="13"/>
      <c r="F41" s="13"/>
    </row>
    <row r="42" spans="1:6" ht="18" customHeight="1" x14ac:dyDescent="0.3">
      <c r="A42" s="2">
        <v>33</v>
      </c>
      <c r="B42" s="3" t="s">
        <v>106</v>
      </c>
      <c r="C42" s="3" t="s">
        <v>107</v>
      </c>
      <c r="D42" s="4" t="s">
        <v>32</v>
      </c>
      <c r="E42" s="5">
        <v>232</v>
      </c>
      <c r="F42" s="5">
        <v>228.23</v>
      </c>
    </row>
    <row r="43" spans="1:6" ht="18" customHeight="1" x14ac:dyDescent="0.3">
      <c r="A43" s="6">
        <v>34</v>
      </c>
      <c r="B43" s="7" t="s">
        <v>109</v>
      </c>
      <c r="C43" s="7" t="s">
        <v>110</v>
      </c>
      <c r="D43" s="4" t="s">
        <v>32</v>
      </c>
      <c r="E43" s="5">
        <v>528.60400000000004</v>
      </c>
      <c r="F43" s="5">
        <v>122.18</v>
      </c>
    </row>
    <row r="44" spans="1:6" ht="18" customHeight="1" x14ac:dyDescent="0.3">
      <c r="A44" s="2">
        <v>35</v>
      </c>
      <c r="B44" s="3" t="s">
        <v>112</v>
      </c>
      <c r="C44" s="3" t="s">
        <v>113</v>
      </c>
      <c r="D44" s="4" t="s">
        <v>32</v>
      </c>
      <c r="E44" s="5">
        <v>230.404</v>
      </c>
      <c r="F44" s="5">
        <v>45.06</v>
      </c>
    </row>
    <row r="45" spans="1:6" ht="18" customHeight="1" x14ac:dyDescent="0.3">
      <c r="A45" s="6">
        <v>36</v>
      </c>
      <c r="B45" s="7" t="s">
        <v>115</v>
      </c>
      <c r="C45" s="7" t="s">
        <v>116</v>
      </c>
      <c r="D45" s="4" t="s">
        <v>32</v>
      </c>
      <c r="E45" s="5">
        <v>1745.22</v>
      </c>
      <c r="F45" s="5">
        <v>560.23</v>
      </c>
    </row>
    <row r="46" spans="1:6" ht="18" customHeight="1" x14ac:dyDescent="0.3">
      <c r="A46" s="2">
        <v>37</v>
      </c>
      <c r="B46" s="3" t="s">
        <v>118</v>
      </c>
      <c r="C46" s="3" t="s">
        <v>119</v>
      </c>
      <c r="D46" s="4" t="s">
        <v>32</v>
      </c>
      <c r="E46" s="5">
        <v>140.5</v>
      </c>
      <c r="F46" s="5">
        <v>366.64</v>
      </c>
    </row>
    <row r="47" spans="1:6" ht="18" customHeight="1" x14ac:dyDescent="0.3">
      <c r="A47" s="6">
        <v>38</v>
      </c>
      <c r="B47" s="7" t="s">
        <v>121</v>
      </c>
      <c r="C47" s="7" t="s">
        <v>122</v>
      </c>
      <c r="D47" s="4" t="s">
        <v>32</v>
      </c>
      <c r="E47" s="5">
        <v>20</v>
      </c>
      <c r="F47" s="5">
        <v>18.149999999999999</v>
      </c>
    </row>
    <row r="48" spans="1:6" ht="18" customHeight="1" x14ac:dyDescent="0.3">
      <c r="A48" s="2">
        <v>39</v>
      </c>
      <c r="B48" s="3" t="s">
        <v>124</v>
      </c>
      <c r="C48" s="3" t="s">
        <v>125</v>
      </c>
      <c r="D48" s="4" t="s">
        <v>93</v>
      </c>
      <c r="E48" s="5">
        <v>220.82</v>
      </c>
      <c r="F48" s="5">
        <v>105.28</v>
      </c>
    </row>
    <row r="49" spans="1:6" ht="18" customHeight="1" x14ac:dyDescent="0.3">
      <c r="A49" s="6">
        <v>40</v>
      </c>
      <c r="B49" s="7" t="s">
        <v>127</v>
      </c>
      <c r="C49" s="7" t="s">
        <v>128</v>
      </c>
      <c r="D49" s="4" t="s">
        <v>32</v>
      </c>
      <c r="E49" s="5">
        <v>927.44399999999996</v>
      </c>
      <c r="F49" s="5">
        <v>336.9</v>
      </c>
    </row>
    <row r="50" spans="1:6" ht="18" customHeight="1" x14ac:dyDescent="0.3">
      <c r="A50" s="2">
        <v>41</v>
      </c>
      <c r="B50" s="3" t="s">
        <v>130</v>
      </c>
      <c r="C50" s="3" t="s">
        <v>131</v>
      </c>
      <c r="D50" s="4" t="s">
        <v>32</v>
      </c>
      <c r="E50" s="5">
        <v>140.5</v>
      </c>
      <c r="F50" s="5">
        <v>366.64</v>
      </c>
    </row>
    <row r="51" spans="1:6" ht="18" customHeight="1" x14ac:dyDescent="0.3">
      <c r="A51" s="6">
        <v>42</v>
      </c>
      <c r="B51" s="7" t="s">
        <v>132</v>
      </c>
      <c r="C51" s="7" t="s">
        <v>133</v>
      </c>
      <c r="D51" s="4" t="s">
        <v>32</v>
      </c>
      <c r="E51" s="5">
        <v>20</v>
      </c>
      <c r="F51" s="5">
        <v>18.149999999999999</v>
      </c>
    </row>
    <row r="52" spans="1:6" ht="18" customHeight="1" x14ac:dyDescent="0.3">
      <c r="A52" s="2">
        <v>43</v>
      </c>
      <c r="B52" s="3" t="s">
        <v>134</v>
      </c>
      <c r="C52" s="3" t="s">
        <v>135</v>
      </c>
      <c r="D52" s="4" t="s">
        <v>32</v>
      </c>
      <c r="E52" s="5">
        <v>96.2</v>
      </c>
      <c r="F52" s="5">
        <v>80.19</v>
      </c>
    </row>
    <row r="53" spans="1:6" x14ac:dyDescent="0.3">
      <c r="A53" s="8"/>
      <c r="B53" s="8"/>
      <c r="C53" s="8"/>
      <c r="D53" s="8"/>
      <c r="E53" s="8"/>
      <c r="F53" s="8"/>
    </row>
    <row r="54" spans="1:6" ht="19.95" customHeight="1" x14ac:dyDescent="0.3">
      <c r="A54" s="9" t="s">
        <v>137</v>
      </c>
      <c r="B54" s="13"/>
      <c r="C54" s="13"/>
      <c r="D54" s="13"/>
      <c r="E54" s="13"/>
      <c r="F54" s="13"/>
    </row>
    <row r="55" spans="1:6" ht="18" customHeight="1" x14ac:dyDescent="0.3">
      <c r="A55" s="6">
        <v>44</v>
      </c>
      <c r="B55" s="7" t="s">
        <v>138</v>
      </c>
      <c r="C55" s="7" t="s">
        <v>139</v>
      </c>
      <c r="D55" s="4" t="s">
        <v>32</v>
      </c>
      <c r="E55" s="5">
        <v>623.90700000000004</v>
      </c>
      <c r="F55" s="5">
        <v>649.97</v>
      </c>
    </row>
    <row r="56" spans="1:6" ht="18" customHeight="1" x14ac:dyDescent="0.3">
      <c r="A56" s="2">
        <v>45</v>
      </c>
      <c r="B56" s="3" t="s">
        <v>141</v>
      </c>
      <c r="C56" s="3" t="s">
        <v>142</v>
      </c>
      <c r="D56" s="4" t="s">
        <v>143</v>
      </c>
      <c r="E56" s="5">
        <v>16.399999999999999</v>
      </c>
      <c r="F56" s="5">
        <v>18.8</v>
      </c>
    </row>
    <row r="57" spans="1:6" ht="18" customHeight="1" x14ac:dyDescent="0.3">
      <c r="A57" s="6">
        <v>46</v>
      </c>
      <c r="B57" s="7" t="s">
        <v>145</v>
      </c>
      <c r="C57" s="7" t="s">
        <v>146</v>
      </c>
      <c r="D57" s="4" t="s">
        <v>32</v>
      </c>
      <c r="E57" s="5">
        <v>63.5</v>
      </c>
      <c r="F57" s="5">
        <v>25.2</v>
      </c>
    </row>
    <row r="58" spans="1:6" ht="18" customHeight="1" x14ac:dyDescent="0.3">
      <c r="A58" s="2">
        <v>47</v>
      </c>
      <c r="B58" s="3" t="s">
        <v>148</v>
      </c>
      <c r="C58" s="3" t="s">
        <v>149</v>
      </c>
      <c r="D58" s="4" t="s">
        <v>32</v>
      </c>
      <c r="E58" s="5">
        <v>63.5</v>
      </c>
      <c r="F58" s="5">
        <v>25.2</v>
      </c>
    </row>
    <row r="59" spans="1:6" ht="18" customHeight="1" x14ac:dyDescent="0.3">
      <c r="A59" s="6">
        <v>48</v>
      </c>
      <c r="B59" s="7" t="s">
        <v>150</v>
      </c>
      <c r="C59" s="7" t="s">
        <v>151</v>
      </c>
      <c r="D59" s="4" t="s">
        <v>32</v>
      </c>
      <c r="E59" s="5">
        <v>20</v>
      </c>
      <c r="F59" s="5">
        <v>18.149999999999999</v>
      </c>
    </row>
    <row r="60" spans="1:6" ht="18" customHeight="1" x14ac:dyDescent="0.3">
      <c r="A60" s="2">
        <v>49</v>
      </c>
      <c r="B60" s="3" t="s">
        <v>153</v>
      </c>
      <c r="C60" s="3" t="s">
        <v>154</v>
      </c>
      <c r="D60" s="4" t="s">
        <v>32</v>
      </c>
      <c r="E60" s="5">
        <v>344.21800000000002</v>
      </c>
      <c r="F60" s="5">
        <v>192</v>
      </c>
    </row>
    <row r="61" spans="1:6" ht="18" customHeight="1" x14ac:dyDescent="0.3">
      <c r="A61" s="6">
        <v>50</v>
      </c>
      <c r="B61" s="7" t="s">
        <v>156</v>
      </c>
      <c r="C61" s="7" t="s">
        <v>157</v>
      </c>
      <c r="D61" s="4" t="s">
        <v>158</v>
      </c>
      <c r="E61" s="5">
        <v>16</v>
      </c>
      <c r="F61" s="5">
        <v>17</v>
      </c>
    </row>
    <row r="62" spans="1:6" ht="18" customHeight="1" x14ac:dyDescent="0.3">
      <c r="A62" s="2">
        <v>51</v>
      </c>
      <c r="B62" s="3" t="s">
        <v>160</v>
      </c>
      <c r="C62" s="3" t="s">
        <v>161</v>
      </c>
      <c r="D62" s="4" t="s">
        <v>32</v>
      </c>
      <c r="E62" s="5">
        <v>90.4</v>
      </c>
      <c r="F62" s="5">
        <v>91.98</v>
      </c>
    </row>
    <row r="63" spans="1:6" x14ac:dyDescent="0.3">
      <c r="A63" s="8"/>
      <c r="B63" s="8"/>
      <c r="C63" s="8"/>
      <c r="D63" s="8"/>
      <c r="E63" s="8"/>
      <c r="F63" s="8"/>
    </row>
  </sheetData>
  <mergeCells count="6">
    <mergeCell ref="A41:F41"/>
    <mergeCell ref="A54:F54"/>
    <mergeCell ref="A28:F28"/>
    <mergeCell ref="A1:F1"/>
    <mergeCell ref="A18:F18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3246</vt:lpstr>
      <vt:lpstr>Project 1577</vt:lpstr>
      <vt:lpstr>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basel omar</cp:lastModifiedBy>
  <dcterms:created xsi:type="dcterms:W3CDTF">2026-03-31T07:11:11Z</dcterms:created>
  <dcterms:modified xsi:type="dcterms:W3CDTF">2026-03-31T09:13:57Z</dcterms:modified>
</cp:coreProperties>
</file>